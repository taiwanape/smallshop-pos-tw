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ff8f59b93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決策摘要" sheetId="1" r:id="Re3bc9692420a42e6"/>
    <x:sheet xmlns:r="http://schemas.openxmlformats.org/officeDocument/2006/relationships" name="假設" sheetId="2" r:id="R2ac6da0456e74b17"/>
    <x:sheet xmlns:r="http://schemas.openxmlformats.org/officeDocument/2006/relationships" name="24月試算" sheetId="3" r:id="Rc29324ecfab44199"/>
    <x:sheet xmlns:r="http://schemas.openxmlformats.org/officeDocument/2006/relationships" name="90天行動" sheetId="4" r:id="Rfa291a47254144c0"/>
    <x:sheet xmlns:r="http://schemas.openxmlformats.org/officeDocument/2006/relationships" name="店家驗證" sheetId="5" r:id="R8f462b9d73ca4ede"/>
    <x:sheet xmlns:r="http://schemas.openxmlformats.org/officeDocument/2006/relationships" name="競品證據" sheetId="6" r:id="R26d6912056a0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(#,##0);&quot;–&quot;"/>
    <x:numFmt numFmtId="201" formatCode="yyyy/mm"/>
    <x:numFmt numFmtId="202" formatCode="&quot;NT$&quot;#,##0;(&quot;NT$&quot;#,##0);&quot;–&quot;"/>
    <x:numFmt numFmtId="203" formatCode="0.0%;(0.0%);&quot;–&quot;"/>
    <x:numFmt numFmtId="204" formatCode="#,##0.0;(#,##0.0);&quot;–&quot;"/>
    <x:numFmt numFmtId="205" formatCode="yy/mm"/>
    <x:numFmt numFmtId="206" formatCode="0.00;(0.00);&quot;–&quot;"/>
    <x:numFmt numFmtId="207" formatCode="@"/>
    <x:numFmt numFmtId="208" formatCode="yyyy/mm/dd"/>
    <x:numFmt numFmtId="209" formatCode="0"/>
  </x:numFmts>
  <x:fonts count="9">
    <x:font>
      <x:sz val="11"/>
      <x:name val="Carlito"/>
    </x:font>
    <x:font>
      <x:sz val="10"/>
      <x:color rgb="FF243047"/>
      <x:name val="Arial"/>
    </x:font>
    <x:font>
      <x:b/>
      <x:sz val="16"/>
      <x:color rgb="FF243C5A"/>
      <x:name val="Arial"/>
    </x:font>
    <x:font>
      <x:sz val="10"/>
      <x:color rgb="FF295B9A"/>
      <x:name val="Arial"/>
    </x:font>
    <x:font>
      <x:b/>
      <x:sz val="10"/>
      <x:color rgb="FF176246"/>
      <x:name val="Arial"/>
    </x:font>
    <x:font>
      <x:b/>
      <x:sz val="10"/>
      <x:color rgb="FFFFFFFF"/>
      <x:name val="Arial"/>
    </x:font>
    <x:font>
      <x:b/>
      <x:sz val="10"/>
      <x:color rgb="FF243047"/>
      <x:name val="Arial"/>
    </x:font>
    <x:font>
      <x:sz val="10"/>
      <x:color rgb="FF617084"/>
      <x:name val="Arial"/>
    </x:font>
    <x:font>
      <x:sz val="10"/>
      <x:color rgb="FF1762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243C5A"/>
      </x:patternFill>
    </x:fill>
    <x:fill>
      <x:patternFill patternType="solid">
        <x:fgColor rgb="FFEAF0F6"/>
      </x:patternFill>
    </x:fill>
  </x:fills>
  <x:borders count="3">
    <x:border/>
    <x:border>
      <x:bottom style="thin">
        <x:color rgb="FFCBD3DC"/>
      </x:bottom>
    </x:border>
    <x:border>
      <x:left style="dotted">
        <x:color rgb="FF617084"/>
      </x:left>
      <x:right style="dotted">
        <x:color rgb="FF617084"/>
      </x:right>
      <x:top style="dotted">
        <x:color rgb="FF617084"/>
      </x:top>
      <x:bottom style="dotted">
        <x:color rgb="FF61708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5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6" fontId="3" fillId="2" borderId="0" xfId="0" applyNumberFormat="1" applyFont="1" applyFill="1" applyBorder="1" applyAlignment="1">
      <x:alignment vertical="center"/>
    </x:xf>
    <x:xf numFmtId="206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7" fontId="3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7" fontId="3" fillId="2" borderId="0" xfId="0" applyNumberFormat="1" applyFont="1" applyFill="1" applyBorder="1" applyAlignment="1">
      <x:alignment vertical="center"/>
    </x:xf>
    <x:xf numFmtId="208" fontId="3" fillId="2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F302F"/>
      </x:font>
    </x:dxf>
    <x:dxf>
      <x:font>
        <x:b/>
        <x:color rgb="FFAF302F"/>
      </x:font>
      <x:fill>
        <x:patternFill patternType="solid">
          <x:bgColor rgb="FFFCE9E7"/>
        </x:patternFill>
      </x:fill>
    </x:dxf>
    <x:dxf>
      <x:font>
        <x:color rgb="FFAF302F"/>
      </x:font>
    </x:dxf>
    <x:dxf>
      <x:font>
        <x:color rgb="FFAF302F"/>
      </x:font>
      <x:fill>
        <x:patternFill patternType="solid">
          <x:bgColor rgb="FFFC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dca59e51e4c69" /><Relationship Type="http://schemas.openxmlformats.org/officeDocument/2006/relationships/theme" Target="/xl/theme/theme1.xml" Id="R6ed5f600ea6342f0" /><Relationship Type="http://schemas.openxmlformats.org/officeDocument/2006/relationships/sharedStrings" Target="/xl/sharedStrings.xml" Id="Rf02d9cd6ad84469e" /><Relationship Type="http://schemas.openxmlformats.org/officeDocument/2006/relationships/worksheet" Target="/xl/worksheets/sheet1.xml" Id="Re3bc9692420a42e6" /><Relationship Type="http://schemas.openxmlformats.org/officeDocument/2006/relationships/worksheet" Target="/xl/worksheets/sheet2.xml" Id="R2ac6da0456e74b17" /><Relationship Type="http://schemas.openxmlformats.org/officeDocument/2006/relationships/worksheet" Target="/xl/worksheets/sheet3.xml" Id="Rc29324ecfab44199" /><Relationship Type="http://schemas.openxmlformats.org/officeDocument/2006/relationships/worksheet" Target="/xl/worksheets/sheet4.xml" Id="Rfa291a47254144c0" /><Relationship Type="http://schemas.openxmlformats.org/officeDocument/2006/relationships/worksheet" Target="/xl/worksheets/sheet5.xml" Id="R8f462b9d73ca4ede" /><Relationship Type="http://schemas.openxmlformats.org/officeDocument/2006/relationships/worksheet" Target="/xl/worksheets/sheet6.xml" Id="R26d6912056a041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424f46247440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累計現金與時間成本（NT$）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累計現金增減</c:v>
          </c:tx>
          <c:spPr>
            <a:ln xmlns:a="http://schemas.openxmlformats.org/drawingml/2006/main" w="19050">
              <a:solidFill>
                <a:srgbClr val="295B9A"/>
              </a:solidFill>
              <a:prstDash val="solid"/>
            </a:ln>
          </c:spPr>
          <c:marker>
            <c:symbol val="none"/>
          </c:marker>
          <c:cat>
            <c:strRef>
              <c:f>'決策摘要'!$C$40:$C$63</c:f>
              <c:strCache>
                <c:ptCount val="0"/>
              </c:strCache>
            </c:strRef>
          </c:cat>
          <c:val>
            <c:numRef>
              <c:f>'決策摘要'!$D$40:$D$63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累計含時間成本損益</c:v>
          </c:tx>
          <c:spPr>
            <a:ln xmlns:a="http://schemas.openxmlformats.org/drawingml/2006/main" w="19050">
              <a:solidFill>
                <a:srgbClr val="AF302F"/>
              </a:solidFill>
              <a:prstDash val="solid"/>
            </a:ln>
          </c:spPr>
          <c:marker>
            <c:symbol val="none"/>
          </c:marker>
          <c:cat>
            <c:strRef>
              <c:f>'決策摘要'!$C$40:$C$63</c:f>
              <c:strCache>
                <c:ptCount val="0"/>
              </c:strCache>
            </c:strRef>
          </c:cat>
          <c:val>
            <c:numRef>
              <c:f>'決策摘要'!$E$40:$E$63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424f46247440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90330eca8546a6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9" hidden="0" customWidth="1"/>
    <x:col min="5" max="5" width="17" hidden="0" customWidth="1"/>
    <x:col min="6" max="6" width="17" hidden="0" customWidth="1"/>
    <x:col min="7" max="7" width="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2"/>
      <x:c r="B2" s="2"/>
      <x:c r="C2" s="3" t="str">
        <x:v>小店快收：重新規劃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3" customHeight="1">
      <x:c r="A4" s="2"/>
      <x:c r="B4" s="2"/>
      <x:c r="C4" s="2" t="str">
        <x:v>目前情境</x:v>
      </x:c>
      <x:c r="D4" s="2"/>
      <x:c r="E4" s="26" t="str">
        <x:f>'假設'!H4</x:f>
        <x:v>基準</x:v>
      </x:c>
      <x:c r="F4" s="2"/>
      <x:c r="G4" s="2"/>
      <x:c r="H4" s="2" t="str">
        <x:v>規劃日期 2026/09/07</x:v>
      </x:c>
      <x:c r="I4" s="2"/>
      <x:c r="J4" s="2"/>
      <x:c r="K4" s="2"/>
      <x:c r="L4" s="2"/>
      <x:c r="M4" s="2"/>
      <x:c r="N4" s="2"/>
      <x:c r="O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3" customHeight="1">
      <x:c r="A7" s="2"/>
      <x:c r="B7" s="2"/>
      <x:c r="C7" s="15" t="str">
        <x:v>衡量項目</x:v>
      </x:c>
      <x:c r="D7" s="15" t="str">
        <x:v>單位</x:v>
      </x:c>
      <x:c r="E7" s="15" t="str">
        <x:v>第12月</x:v>
      </x:c>
      <x:c r="F7" s="15" t="str">
        <x:v>第24月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23" customHeight="1">
      <x:c r="A8" s="2"/>
      <x:c r="B8" s="2"/>
      <x:c r="C8" s="2" t="str">
        <x:v>期末付費店（期望值）</x:v>
      </x:c>
      <x:c r="D8" s="2" t="str">
        <x:v>店</x:v>
      </x:c>
      <x:c r="E8" s="32" t="n">
        <x:f>'24月試算'!Q34</x:f>
        <x:v>15.03064947844738</x:v>
      </x:c>
      <x:c r="F8" s="32" t="n">
        <x:f>'24月試算'!AC34</x:f>
        <x:v>26.83800266734154</x:v>
      </x:c>
      <x:c r="G8" s="2"/>
      <x:c r="H8" s="2"/>
      <x:c r="I8" s="2"/>
      <x:c r="J8" s="2"/>
      <x:c r="K8" s="2"/>
      <x:c r="L8" s="2"/>
      <x:c r="M8" s="2"/>
      <x:c r="N8" s="2"/>
      <x:c r="O8" s="2"/>
    </x:row>
    <x:row r="9" ht="23" customHeight="1">
      <x:c r="A9" s="2"/>
      <x:c r="B9" s="2"/>
      <x:c r="C9" s="2" t="str">
        <x:v>月經常性收入 MRR</x:v>
      </x:c>
      <x:c r="D9" s="2" t="str">
        <x:v>NT$</x:v>
      </x:c>
      <x:c r="E9" s="37" t="n">
        <x:f>'24月試算'!Q42</x:f>
        <x:v>19389.53782719712</x:v>
      </x:c>
      <x:c r="F9" s="37" t="n">
        <x:f>'24月試算'!AC42</x:f>
        <x:v>34621.02344087059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23" customHeight="1">
      <x:c r="A10" s="2"/>
      <x:c r="B10" s="2"/>
      <x:c r="C10" s="2" t="str">
        <x:v>當月營運現金利益</x:v>
      </x:c>
      <x:c r="D10" s="2" t="str">
        <x:v>NT$</x:v>
      </x:c>
      <x:c r="E10" s="37" t="n">
        <x:f>'24月試算'!Q50</x:f>
        <x:v>20019.79375408181</x:v>
      </x:c>
      <x:c r="F10" s="37" t="n">
        <x:f>'24月試算'!AC50</x:f>
        <x:v>31017.886592851424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3" customHeight="1">
      <x:c r="A11" s="2"/>
      <x:c r="B11" s="2"/>
      <x:c r="C11" s="2" t="str">
        <x:v>排除導入費的計時損益</x:v>
      </x:c>
      <x:c r="D11" s="2" t="str">
        <x:v>NT$</x:v>
      </x:c>
      <x:c r="E11" s="37" t="n">
        <x:f>'24月試算'!Q58</x:f>
        <x:v>-13873.789741292589</x:v>
      </x:c>
      <x:c r="F11" s="37" t="n">
        <x:f>'24月試算'!AC58</x:f>
        <x:v>-2604.2728646777177</x:v>
      </x:c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3" customHeight="1">
      <x:c r="A12" s="2"/>
      <x:c r="B12" s="2"/>
      <x:c r="C12" s="2" t="str">
        <x:v>累計現金增減</x:v>
      </x:c>
      <x:c r="D12" s="2" t="str">
        <x:v>NT$</x:v>
      </x:c>
      <x:c r="E12" s="37" t="n">
        <x:f>'24月試算'!Q53</x:f>
        <x:v>85984.92359080943</x:v>
      </x:c>
      <x:c r="F12" s="37" t="n">
        <x:f>'24月試算'!AC53</x:f>
        <x:v>421940.4708272068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3" customHeight="1">
      <x:c r="A13" s="2"/>
      <x:c r="B13" s="2"/>
      <x:c r="C13" s="2" t="str">
        <x:v>累計含時間成本損益</x:v>
      </x:c>
      <x:c r="D13" s="2" t="str">
        <x:v>NT$</x:v>
      </x:c>
      <x:c r="E13" s="37" t="n">
        <x:f>'24月試算'!Q56</x:f>
        <x:v>-205725.8800895891</x:v>
      </x:c>
      <x:c r="F13" s="37" t="n">
        <x:f>'24月試算'!AC56</x:f>
        <x:v>-205688.35097984897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3" customHeight="1">
      <x:c r="A14" s="2"/>
      <x:c r="B14" s="2"/>
      <x:c r="C14" s="2" t="str">
        <x:v>當月預計投入時間</x:v>
      </x:c>
      <x:c r="D14" s="2" t="str">
        <x:v>小時</x:v>
      </x:c>
      <x:c r="E14" s="32" t="n">
        <x:f>'24月試算'!Q36</x:f>
        <x:v>64.77135873843599</x:v>
      </x:c>
      <x:c r="F14" s="32" t="n">
        <x:f>'24月試算'!AC36</x:f>
        <x:v>72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3" customHeight="1">
      <x:c r="A17" s="2"/>
      <x:c r="B17" s="2"/>
      <x:c r="C17" s="2" t="str">
        <x:v>前三月總現金支出</x:v>
      </x:c>
      <x:c r="D17" s="2"/>
      <x:c r="E17" s="2"/>
      <x:c r="F17" s="37" t="n">
        <x:f>'24月試算'!F67</x:f>
        <x:v>43863.468</x:v>
      </x:c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3" customHeight="1">
      <x:c r="A18" s="2"/>
      <x:c r="B18" s="2"/>
      <x:c r="C18" s="2" t="str">
        <x:v>最大累計資金缺口</x:v>
      </x:c>
      <x:c r="D18" s="2"/>
      <x:c r="E18" s="2"/>
      <x:c r="F18" s="37" t="n">
        <x:f>'24月試算'!F68</x:f>
        <x:v>39000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/>
      <x:c r="B19" s="2"/>
      <x:c r="C19" s="2" t="str">
        <x:v>含工時獲客成本 CAC</x:v>
      </x:c>
      <x:c r="D19" s="2"/>
      <x:c r="E19" s="2"/>
      <x:c r="F19" s="37" t="n">
        <x:f>'24月試算'!F66</x:f>
        <x:v>5200.476455604306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3" customHeight="1">
      <x:c r="A21" s="2"/>
      <x:c r="B21" s="2"/>
      <x:c r="C21" s="2" t="str">
        <x:v>實際付費店數</x:v>
      </x:c>
      <x:c r="D21" s="2"/>
      <x:c r="E21" s="2"/>
      <x:c r="F21" s="2" t="str">
        <x:f>'店家驗證'!F7</x:f>
        <x:v>尚未輸入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3" customHeight="1">
      <x:c r="A22" s="2"/>
      <x:c r="B22" s="2"/>
      <x:c r="C22" s="2" t="str">
        <x:v>實際續繳店數</x:v>
      </x:c>
      <x:c r="D22" s="2"/>
      <x:c r="E22" s="2"/>
      <x:c r="F22" s="2" t="str">
        <x:f>'店家驗證'!F8</x:f>
        <x:v>尚未輸入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3" customHeight="1">
      <x:c r="A23" s="2"/>
      <x:c r="B23" s="2"/>
      <x:c r="C23" s="2" t="str">
        <x:v>擴大前檢查</x:v>
      </x:c>
      <x:c r="D23" s="2"/>
      <x:c r="E23" s="2"/>
      <x:c r="F23" s="24" t="str">
        <x:f>'店家驗證'!J7</x:f>
        <x:v>尚未開始記錄</x:v>
      </x:c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3" customHeight="1">
      <x:c r="A26" s="2"/>
      <x:c r="B26" s="2"/>
      <x:c r="C26" s="24" t="str">
        <x:v>先服務同生活圈、1–2人經營、10–40個品項的麵線／湯麵店。</x:v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</x:row>
    <x:row r="27" ht="23" customHeight="1">
      <x:c r="A27" s="2"/>
      <x:c r="B27" s="2"/>
      <x:c r="C27" s="24" t="str">
        <x:v>商用門檻尚未通過。草稿、離線、日結、退款、雲端與隔離仍待完成；延期要調整最早付費月。</x:v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</x:row>
    <x:row r="28" ht="23" customHeight="1">
      <x:c r="A28" s="2"/>
      <x:c r="B28" s="2"/>
      <x:c r="C28" s="24" t="str">
        <x:v>90天先取得2–3家付費；120天確認真正續繳。達10家付費、8家續繳後再評估擴大。</x:v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</x:row>
    <x:row r="29" ht="23" customHeight="1">
      <x:c r="A29" s="2"/>
      <x:c r="B29" s="2"/>
      <x:c r="C29" s="24" t="str">
        <x:v>月費先測1,290／1,490元，導入4,900／6,900元。工時、到店範圍與服務時段要寫清楚。</x:v>
      </x:c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</x:row>
    <x:row r="30" ht="23" customHeight="1">
      <x:c r="A30" s="2"/>
      <x:c r="B30" s="2"/>
      <x:c r="C30" s="24" t="str">
        <x:v>第12月300店的舊假設已撤下。獲客、留存、工時與售價尚未被市場證實。</x:v>
      </x:c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</x:row>
    <x:row r="31" ht="23" customHeight="1">
      <x:c r="A31" s="2"/>
      <x:c r="B31" s="2"/>
      <x:c r="C31" s="24" t="str">
        <x:v>現金為正可能仍不足補償創辦人時間；每次檢討同時看經常收入與計時損益。</x:v>
      </x:c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3" customHeight="1">
      <x:c r="A34" s="2"/>
      <x:c r="B34" s="2"/>
      <x:c r="C34" s="14" t="str">
        <x:v>定價與擴張判斷</x:v>
      </x:c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 ht="23" customHeight="1">
      <x:c r="A35" s="2"/>
      <x:c r="B35" s="2"/>
      <x:c r="C35" s="24" t="str">
        <x:v>990元月費需要更低接觸的服務方式。高接觸導入應驗證1,290／1,490元是否真能收款。</x:v>
      </x:c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</x:row>
    <x:row r="36" ht="23" customHeight="1">
      <x:c r="A36" s="2"/>
      <x:c r="B36" s="2"/>
      <x:c r="C36" s="24" t="str">
        <x:v>市場已有免費或低月費產品；官網展示先用於驗證需求，付費商業服務需合適的正式承載。</x:v>
      </x:c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3" customHeight="1">
      <x:c r="A39" s="2"/>
      <x:c r="B39" s="2"/>
      <x:c r="C39" s="2" t="str">
        <x:v>月份</x:v>
      </x:c>
      <x:c r="D39" s="2" t="str">
        <x:v>累計現金增減</x:v>
      </x:c>
      <x:c r="E39" s="2" t="str">
        <x:v>累計含時間成本損益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3" customHeight="1">
      <x:c r="A40" s="2"/>
      <x:c r="B40" s="2"/>
      <x:c r="C40" s="2" t="str">
        <x:f>TEXT('24月試算'!F5,"yy/mm")</x:f>
        <x:v>26/09</x:v>
      </x:c>
      <x:c r="D40" s="33" t="n">
        <x:f>'24月試算'!F53</x:f>
        <x:v>-34500</x:v>
      </x:c>
      <x:c r="E40" s="33" t="n">
        <x:f>'24月試算'!F56</x:f>
        <x:v>-57540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3" customHeight="1">
      <x:c r="A41" s="2"/>
      <x:c r="B41" s="2"/>
      <x:c r="C41" s="2" t="str">
        <x:f>TEXT('24月試算'!G5,"yy/mm")</x:f>
        <x:v>26/10</x:v>
      </x:c>
      <x:c r="D41" s="33" t="n">
        <x:f>'24月試算'!G53</x:f>
        <x:v>-39000</x:v>
      </x:c>
      <x:c r="E41" s="33" t="n">
        <x:f>'24月試算'!G56</x:f>
        <x:v>-86424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 t="str">
        <x:f>TEXT('24月試算'!H5,"yy/mm")</x:f>
        <x:v>26/11</x:v>
      </x:c>
      <x:c r="D42" s="33" t="n">
        <x:f>'24月試算'!H53</x:f>
        <x:v>-34547.868</x:v>
      </x:c>
      <x:c r="E42" s="33" t="n">
        <x:f>'24月試算'!H56</x:f>
        <x:v>-108623.868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3" customHeight="1">
      <x:c r="A43" s="2"/>
      <x:c r="B43" s="2"/>
      <x:c r="C43" s="2" t="str">
        <x:f>TEXT('24月試算'!I5,"yy/mm")</x:f>
        <x:v>26/12</x:v>
      </x:c>
      <x:c r="D43" s="33" t="n">
        <x:f>'24月試算'!I53</x:f>
        <x:v>-28185.729300000003</x:v>
      </x:c>
      <x:c r="E43" s="33" t="n">
        <x:f>'24月試算'!I56</x:f>
        <x:v>-124611.4293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3" customHeight="1">
      <x:c r="A44" s="2"/>
      <x:c r="B44" s="2"/>
      <x:c r="C44" s="2" t="str">
        <x:f>TEXT('24月試算'!J5,"yy/mm")</x:f>
        <x:v>27/01</x:v>
      </x:c>
      <x:c r="D44" s="33" t="n">
        <x:f>'24月試算'!J53</x:f>
        <x:v>-19961.334067500004</x:v>
      </x:c>
      <x:c r="E44" s="33" t="n">
        <x:f>'24月試算'!J56</x:f>
        <x:v>-139221.9915675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3" customHeight="1">
      <x:c r="A45" s="2"/>
      <x:c r="B45" s="2"/>
      <x:c r="C45" s="2" t="str">
        <x:f>TEXT('24月試算'!K5,"yy/mm")</x:f>
        <x:v>27/02</x:v>
      </x:c>
      <x:c r="D45" s="33" t="n">
        <x:f>'24月試算'!K53</x:f>
        <x:v>-9921.238715812502</x:v>
      </x:c>
      <x:c r="E45" s="33" t="n">
        <x:f>'24月試算'!K56</x:f>
        <x:v>-152489.9797783125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3" customHeight="1">
      <x:c r="A46" s="2"/>
      <x:c r="B46" s="2"/>
      <x:c r="C46" s="2" t="str">
        <x:f>TEXT('24月試算'!L5,"yy/mm")</x:f>
        <x:v>27/03</x:v>
      </x:c>
      <x:c r="D46" s="33" t="n">
        <x:f>'24月試算'!L53</x:f>
        <x:v>1889.16425208281</x:v>
      </x:c>
      <x:c r="E46" s="33" t="n">
        <x:f>'24月試算'!L56</x:f>
        <x:v>-164448.95828385468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3" customHeight="1">
      <x:c r="A47" s="2"/>
      <x:c r="B47" s="2"/>
      <x:c r="C47" s="2" t="str">
        <x:f>TEXT('24月試算'!M5,"yy/mm")</x:f>
        <x:v>27/04</x:v>
      </x:c>
      <x:c r="D47" s="33" t="n">
        <x:f>'24月試算'!M53</x:f>
        <x:v>15425.61714578074</x:v>
      </x:c>
      <x:c r="E47" s="33" t="n">
        <x:f>'24月試算'!M56</x:f>
        <x:v>-175131.6523267583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3" customHeight="1">
      <x:c r="A48" s="2"/>
      <x:c r="B48" s="2"/>
      <x:c r="C48" s="2" t="str">
        <x:f>TEXT('24月試算'!N5,"yy/mm")</x:f>
        <x:v>27/05</x:v>
      </x:c>
      <x:c r="D48" s="33" t="n">
        <x:f>'24月試算'!N53</x:f>
        <x:v>30644.96871713622</x:v>
      </x:c>
      <x:c r="E48" s="33" t="n">
        <x:f>'24月試算'!N56</x:f>
        <x:v>-184569.96901858936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3" customHeight="1">
      <x:c r="A49" s="2"/>
      <x:c r="B49" s="2"/>
      <x:c r="C49" s="2" t="str">
        <x:f>TEXT('24月試算'!O5,"yy/mm")</x:f>
        <x:v>27/06</x:v>
      </x:c>
      <x:c r="D49" s="33" t="n">
        <x:f>'24月試算'!O53</x:f>
        <x:v>47505.14649920781</x:v>
      </x:c>
      <x:c r="E49" s="33" t="n">
        <x:f>'24月試算'!O56</x:f>
        <x:v>-192795.01779312463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3" customHeight="1">
      <x:c r="A50" s="2"/>
      <x:c r="B50" s="2"/>
      <x:c r="C50" s="2" t="str">
        <x:f>TEXT('24月試算'!P5,"yy/mm")</x:f>
        <x:v>27/07</x:v>
      </x:c>
      <x:c r="D50" s="33" t="n">
        <x:f>'24月試算'!P53</x:f>
        <x:v>65965.12983672762</x:v>
      </x:c>
      <x:c r="E50" s="33" t="n">
        <x:f>'24月試算'!P56</x:f>
        <x:v>-199837.13034829652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3" customHeight="1">
      <x:c r="A51" s="2"/>
      <x:c r="B51" s="2"/>
      <x:c r="C51" s="2" t="str">
        <x:f>TEXT('24月試算'!Q5,"yy/mm")</x:f>
        <x:v>27/08</x:v>
      </x:c>
      <x:c r="D51" s="33" t="n">
        <x:f>'24月試算'!Q53</x:f>
        <x:v>85984.92359080943</x:v>
      </x:c>
      <x:c r="E51" s="33" t="n">
        <x:f>'24月試算'!Q56</x:f>
        <x:v>-205725.8800895891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3" customHeight="1">
      <x:c r="A52" s="2"/>
      <x:c r="B52" s="2"/>
      <x:c r="C52" s="2" t="str">
        <x:f>TEXT('24月試算'!R5,"yy/mm")</x:f>
        <x:v>27/09</x:v>
      </x:c>
      <x:c r="D52" s="33" t="n">
        <x:f>'24月試算'!R53</x:f>
        <x:v>107525.53250103918</x:v>
      </x:c>
      <x:c r="E52" s="33" t="n">
        <x:f>'24月試算'!R56</x:f>
        <x:v>-210490.10108734938</x:v>
      </x:c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3" customHeight="1">
      <x:c r="A53" s="2"/>
      <x:c r="B53" s="2"/>
      <x:c r="C53" s="2" t="str">
        <x:f>TEXT('24月試算'!S5,"yy/mm")</x:f>
        <x:v>27/10</x:v>
      </x:c>
      <x:c r="D53" s="33" t="n">
        <x:f>'24月試算'!S53</x:f>
        <x:v>130548.93618851321</x:v>
      </x:c>
      <x:c r="E53" s="33" t="n">
        <x:f>'24月試算'!S56</x:f>
        <x:v>-214157.90656016563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23" customHeight="1">
      <x:c r="A54" s="2"/>
      <x:c r="B54" s="2"/>
      <x:c r="C54" s="2" t="str">
        <x:f>TEXT('24月試算'!T5,"yy/mm")</x:f>
        <x:v>27/11</x:v>
      </x:c>
      <x:c r="D54" s="33" t="n">
        <x:f>'24月試算'!T53</x:f>
        <x:v>155018.0647838004</x:v>
      </x:c>
      <x:c r="E54" s="33" t="n">
        <x:f>'24月試算'!T56</x:f>
        <x:v>-216756.7068961615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3" customHeight="1">
      <x:c r="A55" s="2"/>
      <x:c r="B55" s="2"/>
      <x:c r="C55" s="2" t="str">
        <x:f>TEXT('24月試算'!U5,"yy/mm")</x:f>
        <x:v>27/12</x:v>
      </x:c>
      <x:c r="D55" s="33" t="n">
        <x:f>'24月試算'!U53</x:f>
        <x:v>180896.7751642054</x:v>
      </x:c>
      <x:c r="E55" s="33" t="n">
        <x:f>'24月試算'!U56</x:f>
        <x:v>-218313.22722375745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23" customHeight="1">
      <x:c r="A56" s="2"/>
      <x:c r="B56" s="2"/>
      <x:c r="C56" s="2" t="str">
        <x:f>TEXT('24月試算'!V5,"yy/mm")</x:f>
        <x:v>28/01</x:v>
      </x:c>
      <x:c r="D56" s="33" t="n">
        <x:f>'24月試算'!V53</x:f>
        <x:v>208149.82778510026</x:v>
      </x:c>
      <x:c r="E56" s="33" t="n">
        <x:f>'24月試算'!V56</x:f>
        <x:v>-218853.5245431635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23" customHeight="1">
      <x:c r="A57" s="2"/>
      <x:c r="B57" s="2"/>
      <x:c r="C57" s="2" t="str">
        <x:f>TEXT('24月試算'!W5,"yy/mm")</x:f>
        <x:v>28/02</x:v>
      </x:c>
      <x:c r="D57" s="33" t="n">
        <x:f>'24月試算'!W53</x:f>
        <x:v>236742.86409047275</x:v>
      </x:c>
      <x:c r="E57" s="33" t="n">
        <x:f>'24月試算'!W56</x:f>
        <x:v>-218403.00442958443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23" customHeight="1">
      <x:c r="A58" s="2"/>
      <x:c r="B58" s="2"/>
      <x:c r="C58" s="2" t="str">
        <x:f>TEXT('24月試算'!X5,"yy/mm")</x:f>
        <x:v>28/03</x:v>
      </x:c>
      <x:c r="D58" s="33" t="n">
        <x:f>'24月試算'!X53</x:f>
        <x:v>266642.38448821096</x:v>
      </x:c>
      <x:c r="E58" s="33" t="n">
        <x:f>'24月試算'!X56</x:f>
        <x:v>-216986.4373188448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23" customHeight="1">
      <x:c r="A59" s="2"/>
      <x:c r="B59" s="2"/>
      <x:c r="C59" s="2" t="str">
        <x:f>TEXT('24月試算'!Y5,"yy/mm")</x:f>
        <x:v>28/04</x:v>
      </x:c>
      <x:c r="D59" s="33" t="n">
        <x:f>'24月試算'!Y53</x:f>
        <x:v>297756.99546345323</x:v>
      </x:c>
      <x:c r="E59" s="33" t="n">
        <x:f>'24月試算'!Y56</x:f>
        <x:v>-214671.82634360253</x:v>
      </x:c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23" customHeight="1">
      <x:c r="A60" s="2"/>
      <x:c r="B60" s="2"/>
      <x:c r="C60" s="2" t="str">
        <x:f>TEXT('24月試算'!Z5,"yy/mm")</x:f>
        <x:v>28/05</x:v>
      </x:c>
      <x:c r="D60" s="33" t="n">
        <x:f>'24月試算'!Z53</x:f>
        <x:v>328836.5326447474</x:v>
      </x:c>
      <x:c r="E60" s="33" t="n">
        <x:f>'24月試算'!Z56</x:f>
        <x:v>-212392.28916230836</x:v>
      </x:c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23" customHeight="1">
      <x:c r="A61" s="2"/>
      <x:c r="B61" s="2"/>
      <x:c r="C61" s="2" t="str">
        <x:f>TEXT('24月試算'!AA5,"yy/mm")</x:f>
        <x:v>28/06</x:v>
      </x:c>
      <x:c r="D61" s="33" t="n">
        <x:f>'24月試算'!AA53</x:f>
        <x:v>359889.5696261696</x:v>
      </x:c>
      <x:c r="E61" s="33" t="n">
        <x:f>'24月試算'!AA56</x:f>
        <x:v>-210139.2521808861</x:v>
      </x:c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23" customHeight="1">
      <x:c r="A62" s="2"/>
      <x:c r="B62" s="2"/>
      <x:c r="C62" s="2" t="str">
        <x:f>TEXT('24月試算'!AB5,"yy/mm")</x:f>
        <x:v>28/07</x:v>
      </x:c>
      <x:c r="D62" s="33" t="n">
        <x:f>'24月試算'!AB53</x:f>
        <x:v>390922.58423435537</x:v>
      </x:c>
      <x:c r="E62" s="33" t="n">
        <x:f>'24月試算'!AB56</x:f>
        <x:v>-207906.2375727004</x:v>
      </x:c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23" customHeight="1">
      <x:c r="A63" s="2"/>
      <x:c r="B63" s="2"/>
      <x:c r="C63" s="2" t="str">
        <x:f>TEXT('24月試算'!AC5,"yy/mm")</x:f>
        <x:v>28/08</x:v>
      </x:c>
      <x:c r="D63" s="33" t="n">
        <x:f>'24月試算'!AC53</x:f>
        <x:v>421940.4708272068</x:v>
      </x:c>
      <x:c r="E63" s="33" t="n">
        <x:f>'24月試算'!AC56</x:f>
        <x:v>-205688.35097984897</x:v>
      </x:c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</x:sheetData>
  <x:conditionalFormatting sqref="E11:F13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890330eca8546a6"/>
</x:worksheet>
</file>

<file path=xl/worksheets/sheet2.xml><?xml version="1.0" encoding="utf-8"?>
<x:worksheet xmlns:x="http://schemas.openxmlformats.org/spreadsheetml/2006/main">
  <x:sheetPr>
    <x:tabColor rgb="FF295B9A"/>
  </x:sheetPr>
  <x:sheetViews>
    <x:sheetView showGridLines="0" workbookViewId="0">
      <x:pane xSplit="5" ySplit="18" topLeftCell="F1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9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3" customHeight="1">
      <x:c r="A2" s="2"/>
      <x:c r="B2" s="2"/>
      <x:c r="C2" s="3" t="str">
        <x:v>假設與情境控制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3" customHeight="1">
      <x:c r="A4" s="2"/>
      <x:c r="B4" s="2"/>
      <x:c r="C4" s="2" t="str">
        <x:v>情境選擇</x:v>
      </x:c>
      <x:c r="D4" s="2"/>
      <x:c r="E4" s="2"/>
      <x:c r="F4" s="7" t="n">
        <x:v>2</x:v>
      </x:c>
      <x:c r="G4" s="2"/>
      <x:c r="H4" s="8" t="str">
        <x:f>IF(OR(F4=1,F4=2,F4=3),CHOOSE(F4,"保守","基準","成長"),"請選1、2或3")</x:f>
        <x:v>基準</x:v>
      </x:c>
      <x:c r="I4" s="2"/>
      <x:c r="J4" s="2" t="str">
        <x:v>1 保守　2 基準　3 成長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23" customHeight="1">
      <x:c r="A6" s="2"/>
      <x:c r="B6" s="2"/>
      <x:c r="C6" s="2" t="str">
        <x:v>黃色格可修改。商用門檻尚未通過；以下為可依排程開始收費的期望值。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 ht="23" customHeight="1">
      <x:c r="A8" s="2"/>
      <x:c r="B8" s="2"/>
      <x:c r="C8" s="2" t="str">
        <x:v>起始月份（可改）</x:v>
      </x:c>
      <x:c r="D8" s="2"/>
      <x:c r="E8" s="2"/>
      <x:c r="F8" s="9" t="n">
        <x:v>46266</x:v>
      </x:c>
      <x:c r="G8" s="2"/>
      <x:c r="H8" s="2" t="str">
        <x:v>以下各月可個別調整。相同數值是初始假設，不代表成長已被證明。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 ht="23" customHeight="1">
      <x:c r="A9" s="2"/>
      <x:c r="B9" s="2"/>
      <x:c r="C9" s="2" t="str">
        <x:v>首月一次性現金支出</x:v>
      </x:c>
      <x:c r="D9" s="2"/>
      <x:c r="E9" s="2"/>
      <x:c r="F9" s="10" t="n">
        <x:v>30000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 ht="23" customHeight="1">
      <x:c r="A10" s="2"/>
      <x:c r="B10" s="2"/>
      <x:c r="C10" s="2" t="str">
        <x:v>每月固定現金成本</x:v>
      </x:c>
      <x:c r="D10" s="2"/>
      <x:c r="E10" s="2"/>
      <x:c r="F10" s="10" t="n">
        <x:v>3000</x:v>
      </x:c>
      <x:c r="G10" s="2"/>
      <x:c r="H10" s="2" t="str">
        <x:v>現金不含創辦人薪資提領。時間成本另列，不與現金支出重複扣除。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 ht="23" customHeight="1">
      <x:c r="A11" s="2"/>
      <x:c r="B11" s="2"/>
      <x:c r="C11" s="2" t="str">
        <x:v>每活躍店月變動成本</x:v>
      </x:c>
      <x:c r="D11" s="2"/>
      <x:c r="E11" s="2"/>
      <x:c r="F11" s="10" t="n">
        <x:v>100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 ht="23" customHeight="1">
      <x:c r="A12" s="2"/>
      <x:c r="B12" s="2"/>
      <x:c r="C12" s="2" t="str">
        <x:v>收款費率（估算）</x:v>
      </x:c>
      <x:c r="D12" s="2"/>
      <x:c r="E12" s="2"/>
      <x:c r="F12" s="11" t="n">
        <x:v>0.03</x:v>
      </x:c>
      <x:c r="G12" s="2"/>
      <x:c r="H12" s="2" t="str">
        <x:v>費率、轉換率、流失率、工時均待實測，並非供應商報價或產業平均。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ht="23" customHeight="1">
      <x:c r="A13" s="2"/>
      <x:c r="B13" s="2"/>
      <x:c r="C13" s="2" t="str">
        <x:v>創辦人時間單價／小時</x:v>
      </x:c>
      <x:c r="D13" s="2"/>
      <x:c r="E13" s="2"/>
      <x:c r="F13" s="10" t="n">
        <x:v>400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</x:row>
    <x:row r="14" ht="23" customHeight="1">
      <x:c r="A14" s="2"/>
      <x:c r="B14" s="2"/>
      <x:c r="C14" s="2" t="str">
        <x:v>每月可投入工時</x:v>
      </x:c>
      <x:c r="D14" s="2"/>
      <x:c r="E14" s="2"/>
      <x:c r="F14" s="12" t="n">
        <x:v>80</x:v>
      </x:c>
      <x:c r="G14" s="2"/>
      <x:c r="H14" s="2" t="str">
        <x:v>一期為一個月；80h為每週20h的保守排程，8h保留處理突發工作。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</x:row>
    <x:row r="15" ht="23" customHeight="1">
      <x:c r="A15" s="2"/>
      <x:c r="B15" s="2"/>
      <x:c r="C15" s="2" t="str">
        <x:v>每月保留緩衝工時</x:v>
      </x:c>
      <x:c r="D15" s="2"/>
      <x:c r="E15" s="2"/>
      <x:c r="F15" s="12" t="n">
        <x:v>8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</x:row>
    <x:row r="16" ht="23" customHeight="1">
      <x:c r="A16" s="2"/>
      <x:c r="B16" s="2"/>
      <x:c r="C16" s="2" t="str">
        <x:v>最早付費月（第幾月）</x:v>
      </x:c>
      <x:c r="D16" s="2"/>
      <x:c r="E16" s="2"/>
      <x:c r="F16" s="7" t="n">
        <x:v>3</x:v>
      </x:c>
      <x:c r="G16" s="2"/>
      <x:c r="H16" s="2" t="str">
        <x:v>工程延期請延後最早付費月；收費前展示與潛在需求不會計入付費客戶。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</x:row>
    <x:row r="18" ht="23" customHeight="1">
      <x:c r="A18" s="2"/>
      <x:c r="B18" s="2"/>
      <x:c r="C18" s="15" t="str">
        <x:v>驅動因素</x:v>
      </x:c>
      <x:c r="D18" s="15" t="str">
        <x:v>單位</x:v>
      </x:c>
      <x:c r="E18" s="15" t="str">
        <x:v>取值</x:v>
      </x:c>
      <x:c r="F18" s="16" t="n">
        <x:f>$F$8</x:f>
        <x:v>46266</x:v>
      </x:c>
      <x:c r="G18" s="16" t="n">
        <x:f>EDATE(F18,1)</x:f>
        <x:v>46296</x:v>
      </x:c>
      <x:c r="H18" s="16" t="n">
        <x:f>EDATE(G18,1)</x:f>
        <x:v>46327</x:v>
      </x:c>
      <x:c r="I18" s="16" t="n">
        <x:f>EDATE(H18,1)</x:f>
        <x:v>46357</x:v>
      </x:c>
      <x:c r="J18" s="16" t="n">
        <x:f>EDATE(I18,1)</x:f>
        <x:v>46388</x:v>
      </x:c>
      <x:c r="K18" s="16" t="n">
        <x:f>EDATE(J18,1)</x:f>
        <x:v>46419</x:v>
      </x:c>
      <x:c r="L18" s="16" t="n">
        <x:f>EDATE(K18,1)</x:f>
        <x:v>46447</x:v>
      </x:c>
      <x:c r="M18" s="16" t="n">
        <x:f>EDATE(L18,1)</x:f>
        <x:v>46478</x:v>
      </x:c>
      <x:c r="N18" s="16" t="n">
        <x:f>EDATE(M18,1)</x:f>
        <x:v>46508</x:v>
      </x:c>
      <x:c r="O18" s="16" t="n">
        <x:f>EDATE(N18,1)</x:f>
        <x:v>46539</x:v>
      </x:c>
      <x:c r="P18" s="16" t="n">
        <x:f>EDATE(O18,1)</x:f>
        <x:v>46569</x:v>
      </x:c>
      <x:c r="Q18" s="16" t="n">
        <x:f>EDATE(P18,1)</x:f>
        <x:v>46600</x:v>
      </x:c>
      <x:c r="R18" s="16" t="n">
        <x:f>EDATE(Q18,1)</x:f>
        <x:v>46631</x:v>
      </x:c>
      <x:c r="S18" s="16" t="n">
        <x:f>EDATE(R18,1)</x:f>
        <x:v>46661</x:v>
      </x:c>
      <x:c r="T18" s="16" t="n">
        <x:f>EDATE(S18,1)</x:f>
        <x:v>46692</x:v>
      </x:c>
      <x:c r="U18" s="16" t="n">
        <x:f>EDATE(T18,1)</x:f>
        <x:v>46722</x:v>
      </x:c>
      <x:c r="V18" s="16" t="n">
        <x:f>EDATE(U18,1)</x:f>
        <x:v>46753</x:v>
      </x:c>
      <x:c r="W18" s="16" t="n">
        <x:f>EDATE(V18,1)</x:f>
        <x:v>46784</x:v>
      </x:c>
      <x:c r="X18" s="16" t="n">
        <x:f>EDATE(W18,1)</x:f>
        <x:v>46813</x:v>
      </x:c>
      <x:c r="Y18" s="16" t="n">
        <x:f>EDATE(X18,1)</x:f>
        <x:v>46844</x:v>
      </x:c>
      <x:c r="Z18" s="16" t="n">
        <x:f>EDATE(Y18,1)</x:f>
        <x:v>46874</x:v>
      </x:c>
      <x:c r="AA18" s="16" t="n">
        <x:f>EDATE(Z18,1)</x:f>
        <x:v>46905</x:v>
      </x:c>
      <x:c r="AB18" s="16" t="n">
        <x:f>EDATE(AA18,1)</x:f>
        <x:v>46935</x:v>
      </x:c>
      <x:c r="AC18" s="16" t="n">
        <x:f>EDATE(AB18,1)</x:f>
        <x:v>46966</x:v>
      </x:c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</x:row>
    <x:row r="20" ht="23" customHeight="1">
      <x:c r="A20" s="2"/>
      <x:c r="B20" s="2"/>
      <x:c r="C20" s="18" t="str">
        <x:v>每月有效店主觸達</x:v>
      </x:c>
      <x:c r="D20" s="18" t="str">
        <x:v>位</x:v>
      </x:c>
      <x:c r="E20" s="18" t="str">
        <x:v>目前採用</x:v>
      </x:c>
      <x:c r="F20" s="19" t="n">
        <x:f>IF(OR($F$4=1,$F$4=2,$F$4=3),IF(ISNUMBER(INDEX(F21:F23,$F$4)),INDEX(F21:F23,$F$4),NA()),NA())</x:f>
        <x:v>16</x:v>
      </x:c>
      <x:c r="G20" s="19" t="n">
        <x:f>IF(OR($F$4=1,$F$4=2,$F$4=3),IF(ISNUMBER(INDEX(G21:G23,$F$4)),INDEX(G21:G23,$F$4),NA()),NA())</x:f>
        <x:v>16</x:v>
      </x:c>
      <x:c r="H20" s="19" t="n">
        <x:f>IF(OR($F$4=1,$F$4=2,$F$4=3),IF(ISNUMBER(INDEX(H21:H23,$F$4)),INDEX(H21:H23,$F$4),NA()),NA())</x:f>
        <x:v>16</x:v>
      </x:c>
      <x:c r="I20" s="19" t="n">
        <x:f>IF(OR($F$4=1,$F$4=2,$F$4=3),IF(ISNUMBER(INDEX(I21:I23,$F$4)),INDEX(I21:I23,$F$4),NA()),NA())</x:f>
        <x:v>16</x:v>
      </x:c>
      <x:c r="J20" s="19" t="n">
        <x:f>IF(OR($F$4=1,$F$4=2,$F$4=3),IF(ISNUMBER(INDEX(J21:J23,$F$4)),INDEX(J21:J23,$F$4),NA()),NA())</x:f>
        <x:v>16</x:v>
      </x:c>
      <x:c r="K20" s="19" t="n">
        <x:f>IF(OR($F$4=1,$F$4=2,$F$4=3),IF(ISNUMBER(INDEX(K21:K23,$F$4)),INDEX(K21:K23,$F$4),NA()),NA())</x:f>
        <x:v>16</x:v>
      </x:c>
      <x:c r="L20" s="19" t="n">
        <x:f>IF(OR($F$4=1,$F$4=2,$F$4=3),IF(ISNUMBER(INDEX(L21:L23,$F$4)),INDEX(L21:L23,$F$4),NA()),NA())</x:f>
        <x:v>16</x:v>
      </x:c>
      <x:c r="M20" s="19" t="n">
        <x:f>IF(OR($F$4=1,$F$4=2,$F$4=3),IF(ISNUMBER(INDEX(M21:M23,$F$4)),INDEX(M21:M23,$F$4),NA()),NA())</x:f>
        <x:v>16</x:v>
      </x:c>
      <x:c r="N20" s="19" t="n">
        <x:f>IF(OR($F$4=1,$F$4=2,$F$4=3),IF(ISNUMBER(INDEX(N21:N23,$F$4)),INDEX(N21:N23,$F$4),NA()),NA())</x:f>
        <x:v>16</x:v>
      </x:c>
      <x:c r="O20" s="19" t="n">
        <x:f>IF(OR($F$4=1,$F$4=2,$F$4=3),IF(ISNUMBER(INDEX(O21:O23,$F$4)),INDEX(O21:O23,$F$4),NA()),NA())</x:f>
        <x:v>16</x:v>
      </x:c>
      <x:c r="P20" s="19" t="n">
        <x:f>IF(OR($F$4=1,$F$4=2,$F$4=3),IF(ISNUMBER(INDEX(P21:P23,$F$4)),INDEX(P21:P23,$F$4),NA()),NA())</x:f>
        <x:v>16</x:v>
      </x:c>
      <x:c r="Q20" s="19" t="n">
        <x:f>IF(OR($F$4=1,$F$4=2,$F$4=3),IF(ISNUMBER(INDEX(Q21:Q23,$F$4)),INDEX(Q21:Q23,$F$4),NA()),NA())</x:f>
        <x:v>16</x:v>
      </x:c>
      <x:c r="R20" s="19" t="n">
        <x:f>IF(OR($F$4=1,$F$4=2,$F$4=3),IF(ISNUMBER(INDEX(R21:R23,$F$4)),INDEX(R21:R23,$F$4),NA()),NA())</x:f>
        <x:v>16</x:v>
      </x:c>
      <x:c r="S20" s="19" t="n">
        <x:f>IF(OR($F$4=1,$F$4=2,$F$4=3),IF(ISNUMBER(INDEX(S21:S23,$F$4)),INDEX(S21:S23,$F$4),NA()),NA())</x:f>
        <x:v>16</x:v>
      </x:c>
      <x:c r="T20" s="19" t="n">
        <x:f>IF(OR($F$4=1,$F$4=2,$F$4=3),IF(ISNUMBER(INDEX(T21:T23,$F$4)),INDEX(T21:T23,$F$4),NA()),NA())</x:f>
        <x:v>16</x:v>
      </x:c>
      <x:c r="U20" s="19" t="n">
        <x:f>IF(OR($F$4=1,$F$4=2,$F$4=3),IF(ISNUMBER(INDEX(U21:U23,$F$4)),INDEX(U21:U23,$F$4),NA()),NA())</x:f>
        <x:v>16</x:v>
      </x:c>
      <x:c r="V20" s="19" t="n">
        <x:f>IF(OR($F$4=1,$F$4=2,$F$4=3),IF(ISNUMBER(INDEX(V21:V23,$F$4)),INDEX(V21:V23,$F$4),NA()),NA())</x:f>
        <x:v>16</x:v>
      </x:c>
      <x:c r="W20" s="19" t="n">
        <x:f>IF(OR($F$4=1,$F$4=2,$F$4=3),IF(ISNUMBER(INDEX(W21:W23,$F$4)),INDEX(W21:W23,$F$4),NA()),NA())</x:f>
        <x:v>16</x:v>
      </x:c>
      <x:c r="X20" s="19" t="n">
        <x:f>IF(OR($F$4=1,$F$4=2,$F$4=3),IF(ISNUMBER(INDEX(X21:X23,$F$4)),INDEX(X21:X23,$F$4),NA()),NA())</x:f>
        <x:v>16</x:v>
      </x:c>
      <x:c r="Y20" s="19" t="n">
        <x:f>IF(OR($F$4=1,$F$4=2,$F$4=3),IF(ISNUMBER(INDEX(Y21:Y23,$F$4)),INDEX(Y21:Y23,$F$4),NA()),NA())</x:f>
        <x:v>16</x:v>
      </x:c>
      <x:c r="Z20" s="19" t="n">
        <x:f>IF(OR($F$4=1,$F$4=2,$F$4=3),IF(ISNUMBER(INDEX(Z21:Z23,$F$4)),INDEX(Z21:Z23,$F$4),NA()),NA())</x:f>
        <x:v>16</x:v>
      </x:c>
      <x:c r="AA20" s="19" t="n">
        <x:f>IF(OR($F$4=1,$F$4=2,$F$4=3),IF(ISNUMBER(INDEX(AA21:AA23,$F$4)),INDEX(AA21:AA23,$F$4),NA()),NA())</x:f>
        <x:v>16</x:v>
      </x:c>
      <x:c r="AB20" s="19" t="n">
        <x:f>IF(OR($F$4=1,$F$4=2,$F$4=3),IF(ISNUMBER(INDEX(AB21:AB23,$F$4)),INDEX(AB21:AB23,$F$4),NA()),NA())</x:f>
        <x:v>16</x:v>
      </x:c>
      <x:c r="AC20" s="19" t="n">
        <x:f>IF(OR($F$4=1,$F$4=2,$F$4=3),IF(ISNUMBER(INDEX(AC21:AC23,$F$4)),INDEX(AC21:AC23,$F$4),NA()),NA())</x:f>
        <x:v>16</x:v>
      </x:c>
    </x:row>
    <x:row r="21" ht="23" customHeight="1">
      <x:c r="A21" s="2"/>
      <x:c r="B21" s="2"/>
      <x:c r="C21" s="2"/>
      <x:c r="D21" s="2"/>
      <x:c r="E21" s="2" t="str">
        <x:v>保守</x:v>
      </x:c>
      <x:c r="F21" s="12" t="n">
        <x:v>12</x:v>
      </x:c>
      <x:c r="G21" s="12" t="n">
        <x:v>12</x:v>
      </x:c>
      <x:c r="H21" s="12" t="n">
        <x:v>12</x:v>
      </x:c>
      <x:c r="I21" s="12" t="n">
        <x:v>12</x:v>
      </x:c>
      <x:c r="J21" s="12" t="n">
        <x:v>12</x:v>
      </x:c>
      <x:c r="K21" s="12" t="n">
        <x:v>12</x:v>
      </x:c>
      <x:c r="L21" s="12" t="n">
        <x:v>12</x:v>
      </x:c>
      <x:c r="M21" s="12" t="n">
        <x:v>12</x:v>
      </x:c>
      <x:c r="N21" s="12" t="n">
        <x:v>12</x:v>
      </x:c>
      <x:c r="O21" s="12" t="n">
        <x:v>12</x:v>
      </x:c>
      <x:c r="P21" s="12" t="n">
        <x:v>12</x:v>
      </x:c>
      <x:c r="Q21" s="12" t="n">
        <x:v>12</x:v>
      </x:c>
      <x:c r="R21" s="12" t="n">
        <x:v>12</x:v>
      </x:c>
      <x:c r="S21" s="12" t="n">
        <x:v>12</x:v>
      </x:c>
      <x:c r="T21" s="12" t="n">
        <x:v>12</x:v>
      </x:c>
      <x:c r="U21" s="12" t="n">
        <x:v>12</x:v>
      </x:c>
      <x:c r="V21" s="12" t="n">
        <x:v>12</x:v>
      </x:c>
      <x:c r="W21" s="12" t="n">
        <x:v>12</x:v>
      </x:c>
      <x:c r="X21" s="12" t="n">
        <x:v>12</x:v>
      </x:c>
      <x:c r="Y21" s="12" t="n">
        <x:v>12</x:v>
      </x:c>
      <x:c r="Z21" s="12" t="n">
        <x:v>12</x:v>
      </x:c>
      <x:c r="AA21" s="12" t="n">
        <x:v>12</x:v>
      </x:c>
      <x:c r="AB21" s="12" t="n">
        <x:v>12</x:v>
      </x:c>
      <x:c r="AC21" s="12" t="n">
        <x:v>12</x:v>
      </x:c>
    </x:row>
    <x:row r="22" ht="23" customHeight="1">
      <x:c r="A22" s="2"/>
      <x:c r="B22" s="2"/>
      <x:c r="C22" s="2"/>
      <x:c r="D22" s="2"/>
      <x:c r="E22" s="2" t="str">
        <x:v>基準</x:v>
      </x:c>
      <x:c r="F22" s="12" t="n">
        <x:v>16</x:v>
      </x:c>
      <x:c r="G22" s="12" t="n">
        <x:v>16</x:v>
      </x:c>
      <x:c r="H22" s="12" t="n">
        <x:v>16</x:v>
      </x:c>
      <x:c r="I22" s="12" t="n">
        <x:v>16</x:v>
      </x:c>
      <x:c r="J22" s="12" t="n">
        <x:v>16</x:v>
      </x:c>
      <x:c r="K22" s="12" t="n">
        <x:v>16</x:v>
      </x:c>
      <x:c r="L22" s="12" t="n">
        <x:v>16</x:v>
      </x:c>
      <x:c r="M22" s="12" t="n">
        <x:v>16</x:v>
      </x:c>
      <x:c r="N22" s="12" t="n">
        <x:v>16</x:v>
      </x:c>
      <x:c r="O22" s="12" t="n">
        <x:v>16</x:v>
      </x:c>
      <x:c r="P22" s="12" t="n">
        <x:v>16</x:v>
      </x:c>
      <x:c r="Q22" s="12" t="n">
        <x:v>16</x:v>
      </x:c>
      <x:c r="R22" s="12" t="n">
        <x:v>16</x:v>
      </x:c>
      <x:c r="S22" s="12" t="n">
        <x:v>16</x:v>
      </x:c>
      <x:c r="T22" s="12" t="n">
        <x:v>16</x:v>
      </x:c>
      <x:c r="U22" s="12" t="n">
        <x:v>16</x:v>
      </x:c>
      <x:c r="V22" s="12" t="n">
        <x:v>16</x:v>
      </x:c>
      <x:c r="W22" s="12" t="n">
        <x:v>16</x:v>
      </x:c>
      <x:c r="X22" s="12" t="n">
        <x:v>16</x:v>
      </x:c>
      <x:c r="Y22" s="12" t="n">
        <x:v>16</x:v>
      </x:c>
      <x:c r="Z22" s="12" t="n">
        <x:v>16</x:v>
      </x:c>
      <x:c r="AA22" s="12" t="n">
        <x:v>16</x:v>
      </x:c>
      <x:c r="AB22" s="12" t="n">
        <x:v>16</x:v>
      </x:c>
      <x:c r="AC22" s="12" t="n">
        <x:v>16</x:v>
      </x:c>
    </x:row>
    <x:row r="23" ht="23" customHeight="1">
      <x:c r="A23" s="2"/>
      <x:c r="B23" s="2"/>
      <x:c r="C23" s="2"/>
      <x:c r="D23" s="2"/>
      <x:c r="E23" s="2" t="str">
        <x:v>成長</x:v>
      </x:c>
      <x:c r="F23" s="12" t="n">
        <x:v>20</x:v>
      </x:c>
      <x:c r="G23" s="12" t="n">
        <x:v>20</x:v>
      </x:c>
      <x:c r="H23" s="12" t="n">
        <x:v>20</x:v>
      </x:c>
      <x:c r="I23" s="12" t="n">
        <x:v>20</x:v>
      </x:c>
      <x:c r="J23" s="12" t="n">
        <x:v>20</x:v>
      </x:c>
      <x:c r="K23" s="12" t="n">
        <x:v>20</x:v>
      </x:c>
      <x:c r="L23" s="12" t="n">
        <x:v>20</x:v>
      </x:c>
      <x:c r="M23" s="12" t="n">
        <x:v>20</x:v>
      </x:c>
      <x:c r="N23" s="12" t="n">
        <x:v>20</x:v>
      </x:c>
      <x:c r="O23" s="12" t="n">
        <x:v>20</x:v>
      </x:c>
      <x:c r="P23" s="12" t="n">
        <x:v>20</x:v>
      </x:c>
      <x:c r="Q23" s="12" t="n">
        <x:v>20</x:v>
      </x:c>
      <x:c r="R23" s="12" t="n">
        <x:v>20</x:v>
      </x:c>
      <x:c r="S23" s="12" t="n">
        <x:v>20</x:v>
      </x:c>
      <x:c r="T23" s="12" t="n">
        <x:v>20</x:v>
      </x:c>
      <x:c r="U23" s="12" t="n">
        <x:v>20</x:v>
      </x:c>
      <x:c r="V23" s="12" t="n">
        <x:v>20</x:v>
      </x:c>
      <x:c r="W23" s="12" t="n">
        <x:v>20</x:v>
      </x:c>
      <x:c r="X23" s="12" t="n">
        <x:v>20</x:v>
      </x:c>
      <x:c r="Y23" s="12" t="n">
        <x:v>20</x:v>
      </x:c>
      <x:c r="Z23" s="12" t="n">
        <x:v>20</x:v>
      </x:c>
      <x:c r="AA23" s="12" t="n">
        <x:v>20</x:v>
      </x:c>
      <x:c r="AB23" s="12" t="n">
        <x:v>20</x:v>
      </x:c>
      <x:c r="AC23" s="12" t="n">
        <x:v>20</x:v>
      </x:c>
    </x:row>
    <x:row r="24" ht="23" customHeight="1">
      <x:c r="A24" s="2"/>
      <x:c r="B24" s="2"/>
      <x:c r="C24" s="18" t="str">
        <x:v>觸達成為展示</x:v>
      </x:c>
      <x:c r="D24" s="18" t="str">
        <x:v>比率</x:v>
      </x:c>
      <x:c r="E24" s="18" t="str">
        <x:v>目前採用</x:v>
      </x:c>
      <x:c r="F24" s="20" t="n">
        <x:f>IF(OR($F$4=1,$F$4=2,$F$4=3),IF(ISNUMBER(INDEX(F25:F27,$F$4)),INDEX(F25:F27,$F$4),NA()),NA())</x:f>
        <x:v>0.35</x:v>
      </x:c>
      <x:c r="G24" s="20" t="n">
        <x:f>IF(OR($F$4=1,$F$4=2,$F$4=3),IF(ISNUMBER(INDEX(G25:G27,$F$4)),INDEX(G25:G27,$F$4),NA()),NA())</x:f>
        <x:v>0.35</x:v>
      </x:c>
      <x:c r="H24" s="20" t="n">
        <x:f>IF(OR($F$4=1,$F$4=2,$F$4=3),IF(ISNUMBER(INDEX(H25:H27,$F$4)),INDEX(H25:H27,$F$4),NA()),NA())</x:f>
        <x:v>0.35</x:v>
      </x:c>
      <x:c r="I24" s="20" t="n">
        <x:f>IF(OR($F$4=1,$F$4=2,$F$4=3),IF(ISNUMBER(INDEX(I25:I27,$F$4)),INDEX(I25:I27,$F$4),NA()),NA())</x:f>
        <x:v>0.35</x:v>
      </x:c>
      <x:c r="J24" s="20" t="n">
        <x:f>IF(OR($F$4=1,$F$4=2,$F$4=3),IF(ISNUMBER(INDEX(J25:J27,$F$4)),INDEX(J25:J27,$F$4),NA()),NA())</x:f>
        <x:v>0.35</x:v>
      </x:c>
      <x:c r="K24" s="20" t="n">
        <x:f>IF(OR($F$4=1,$F$4=2,$F$4=3),IF(ISNUMBER(INDEX(K25:K27,$F$4)),INDEX(K25:K27,$F$4),NA()),NA())</x:f>
        <x:v>0.35</x:v>
      </x:c>
      <x:c r="L24" s="20" t="n">
        <x:f>IF(OR($F$4=1,$F$4=2,$F$4=3),IF(ISNUMBER(INDEX(L25:L27,$F$4)),INDEX(L25:L27,$F$4),NA()),NA())</x:f>
        <x:v>0.35</x:v>
      </x:c>
      <x:c r="M24" s="20" t="n">
        <x:f>IF(OR($F$4=1,$F$4=2,$F$4=3),IF(ISNUMBER(INDEX(M25:M27,$F$4)),INDEX(M25:M27,$F$4),NA()),NA())</x:f>
        <x:v>0.35</x:v>
      </x:c>
      <x:c r="N24" s="20" t="n">
        <x:f>IF(OR($F$4=1,$F$4=2,$F$4=3),IF(ISNUMBER(INDEX(N25:N27,$F$4)),INDEX(N25:N27,$F$4),NA()),NA())</x:f>
        <x:v>0.35</x:v>
      </x:c>
      <x:c r="O24" s="20" t="n">
        <x:f>IF(OR($F$4=1,$F$4=2,$F$4=3),IF(ISNUMBER(INDEX(O25:O27,$F$4)),INDEX(O25:O27,$F$4),NA()),NA())</x:f>
        <x:v>0.35</x:v>
      </x:c>
      <x:c r="P24" s="20" t="n">
        <x:f>IF(OR($F$4=1,$F$4=2,$F$4=3),IF(ISNUMBER(INDEX(P25:P27,$F$4)),INDEX(P25:P27,$F$4),NA()),NA())</x:f>
        <x:v>0.35</x:v>
      </x:c>
      <x:c r="Q24" s="20" t="n">
        <x:f>IF(OR($F$4=1,$F$4=2,$F$4=3),IF(ISNUMBER(INDEX(Q25:Q27,$F$4)),INDEX(Q25:Q27,$F$4),NA()),NA())</x:f>
        <x:v>0.35</x:v>
      </x:c>
      <x:c r="R24" s="20" t="n">
        <x:f>IF(OR($F$4=1,$F$4=2,$F$4=3),IF(ISNUMBER(INDEX(R25:R27,$F$4)),INDEX(R25:R27,$F$4),NA()),NA())</x:f>
        <x:v>0.35</x:v>
      </x:c>
      <x:c r="S24" s="20" t="n">
        <x:f>IF(OR($F$4=1,$F$4=2,$F$4=3),IF(ISNUMBER(INDEX(S25:S27,$F$4)),INDEX(S25:S27,$F$4),NA()),NA())</x:f>
        <x:v>0.35</x:v>
      </x:c>
      <x:c r="T24" s="20" t="n">
        <x:f>IF(OR($F$4=1,$F$4=2,$F$4=3),IF(ISNUMBER(INDEX(T25:T27,$F$4)),INDEX(T25:T27,$F$4),NA()),NA())</x:f>
        <x:v>0.35</x:v>
      </x:c>
      <x:c r="U24" s="20" t="n">
        <x:f>IF(OR($F$4=1,$F$4=2,$F$4=3),IF(ISNUMBER(INDEX(U25:U27,$F$4)),INDEX(U25:U27,$F$4),NA()),NA())</x:f>
        <x:v>0.35</x:v>
      </x:c>
      <x:c r="V24" s="20" t="n">
        <x:f>IF(OR($F$4=1,$F$4=2,$F$4=3),IF(ISNUMBER(INDEX(V25:V27,$F$4)),INDEX(V25:V27,$F$4),NA()),NA())</x:f>
        <x:v>0.35</x:v>
      </x:c>
      <x:c r="W24" s="20" t="n">
        <x:f>IF(OR($F$4=1,$F$4=2,$F$4=3),IF(ISNUMBER(INDEX(W25:W27,$F$4)),INDEX(W25:W27,$F$4),NA()),NA())</x:f>
        <x:v>0.35</x:v>
      </x:c>
      <x:c r="X24" s="20" t="n">
        <x:f>IF(OR($F$4=1,$F$4=2,$F$4=3),IF(ISNUMBER(INDEX(X25:X27,$F$4)),INDEX(X25:X27,$F$4),NA()),NA())</x:f>
        <x:v>0.35</x:v>
      </x:c>
      <x:c r="Y24" s="20" t="n">
        <x:f>IF(OR($F$4=1,$F$4=2,$F$4=3),IF(ISNUMBER(INDEX(Y25:Y27,$F$4)),INDEX(Y25:Y27,$F$4),NA()),NA())</x:f>
        <x:v>0.35</x:v>
      </x:c>
      <x:c r="Z24" s="20" t="n">
        <x:f>IF(OR($F$4=1,$F$4=2,$F$4=3),IF(ISNUMBER(INDEX(Z25:Z27,$F$4)),INDEX(Z25:Z27,$F$4),NA()),NA())</x:f>
        <x:v>0.35</x:v>
      </x:c>
      <x:c r="AA24" s="20" t="n">
        <x:f>IF(OR($F$4=1,$F$4=2,$F$4=3),IF(ISNUMBER(INDEX(AA25:AA27,$F$4)),INDEX(AA25:AA27,$F$4),NA()),NA())</x:f>
        <x:v>0.35</x:v>
      </x:c>
      <x:c r="AB24" s="20" t="n">
        <x:f>IF(OR($F$4=1,$F$4=2,$F$4=3),IF(ISNUMBER(INDEX(AB25:AB27,$F$4)),INDEX(AB25:AB27,$F$4),NA()),NA())</x:f>
        <x:v>0.35</x:v>
      </x:c>
      <x:c r="AC24" s="20" t="n">
        <x:f>IF(OR($F$4=1,$F$4=2,$F$4=3),IF(ISNUMBER(INDEX(AC25:AC27,$F$4)),INDEX(AC25:AC27,$F$4),NA()),NA())</x:f>
        <x:v>0.35</x:v>
      </x:c>
    </x:row>
    <x:row r="25" ht="23" customHeight="1">
      <x:c r="A25" s="2"/>
      <x:c r="B25" s="2"/>
      <x:c r="C25" s="2"/>
      <x:c r="D25" s="2"/>
      <x:c r="E25" s="2" t="str">
        <x:v>保守</x:v>
      </x:c>
      <x:c r="F25" s="11" t="n">
        <x:v>0.25</x:v>
      </x:c>
      <x:c r="G25" s="11" t="n">
        <x:v>0.25</x:v>
      </x:c>
      <x:c r="H25" s="11" t="n">
        <x:v>0.25</x:v>
      </x:c>
      <x:c r="I25" s="11" t="n">
        <x:v>0.25</x:v>
      </x:c>
      <x:c r="J25" s="11" t="n">
        <x:v>0.25</x:v>
      </x:c>
      <x:c r="K25" s="11" t="n">
        <x:v>0.25</x:v>
      </x:c>
      <x:c r="L25" s="11" t="n">
        <x:v>0.25</x:v>
      </x:c>
      <x:c r="M25" s="11" t="n">
        <x:v>0.25</x:v>
      </x:c>
      <x:c r="N25" s="11" t="n">
        <x:v>0.25</x:v>
      </x:c>
      <x:c r="O25" s="11" t="n">
        <x:v>0.25</x:v>
      </x:c>
      <x:c r="P25" s="11" t="n">
        <x:v>0.25</x:v>
      </x:c>
      <x:c r="Q25" s="11" t="n">
        <x:v>0.25</x:v>
      </x:c>
      <x:c r="R25" s="11" t="n">
        <x:v>0.25</x:v>
      </x:c>
      <x:c r="S25" s="11" t="n">
        <x:v>0.25</x:v>
      </x:c>
      <x:c r="T25" s="11" t="n">
        <x:v>0.25</x:v>
      </x:c>
      <x:c r="U25" s="11" t="n">
        <x:v>0.25</x:v>
      </x:c>
      <x:c r="V25" s="11" t="n">
        <x:v>0.25</x:v>
      </x:c>
      <x:c r="W25" s="11" t="n">
        <x:v>0.25</x:v>
      </x:c>
      <x:c r="X25" s="11" t="n">
        <x:v>0.25</x:v>
      </x:c>
      <x:c r="Y25" s="11" t="n">
        <x:v>0.25</x:v>
      </x:c>
      <x:c r="Z25" s="11" t="n">
        <x:v>0.25</x:v>
      </x:c>
      <x:c r="AA25" s="11" t="n">
        <x:v>0.25</x:v>
      </x:c>
      <x:c r="AB25" s="11" t="n">
        <x:v>0.25</x:v>
      </x:c>
      <x:c r="AC25" s="11" t="n">
        <x:v>0.25</x:v>
      </x:c>
    </x:row>
    <x:row r="26" ht="23" customHeight="1">
      <x:c r="A26" s="2"/>
      <x:c r="B26" s="2"/>
      <x:c r="C26" s="2"/>
      <x:c r="D26" s="2"/>
      <x:c r="E26" s="2" t="str">
        <x:v>基準</x:v>
      </x:c>
      <x:c r="F26" s="11" t="n">
        <x:v>0.35</x:v>
      </x:c>
      <x:c r="G26" s="11" t="n">
        <x:v>0.35</x:v>
      </x:c>
      <x:c r="H26" s="11" t="n">
        <x:v>0.35</x:v>
      </x:c>
      <x:c r="I26" s="11" t="n">
        <x:v>0.35</x:v>
      </x:c>
      <x:c r="J26" s="11" t="n">
        <x:v>0.35</x:v>
      </x:c>
      <x:c r="K26" s="11" t="n">
        <x:v>0.35</x:v>
      </x:c>
      <x:c r="L26" s="11" t="n">
        <x:v>0.35</x:v>
      </x:c>
      <x:c r="M26" s="11" t="n">
        <x:v>0.35</x:v>
      </x:c>
      <x:c r="N26" s="11" t="n">
        <x:v>0.35</x:v>
      </x:c>
      <x:c r="O26" s="11" t="n">
        <x:v>0.35</x:v>
      </x:c>
      <x:c r="P26" s="11" t="n">
        <x:v>0.35</x:v>
      </x:c>
      <x:c r="Q26" s="11" t="n">
        <x:v>0.35</x:v>
      </x:c>
      <x:c r="R26" s="11" t="n">
        <x:v>0.35</x:v>
      </x:c>
      <x:c r="S26" s="11" t="n">
        <x:v>0.35</x:v>
      </x:c>
      <x:c r="T26" s="11" t="n">
        <x:v>0.35</x:v>
      </x:c>
      <x:c r="U26" s="11" t="n">
        <x:v>0.35</x:v>
      </x:c>
      <x:c r="V26" s="11" t="n">
        <x:v>0.35</x:v>
      </x:c>
      <x:c r="W26" s="11" t="n">
        <x:v>0.35</x:v>
      </x:c>
      <x:c r="X26" s="11" t="n">
        <x:v>0.35</x:v>
      </x:c>
      <x:c r="Y26" s="11" t="n">
        <x:v>0.35</x:v>
      </x:c>
      <x:c r="Z26" s="11" t="n">
        <x:v>0.35</x:v>
      </x:c>
      <x:c r="AA26" s="11" t="n">
        <x:v>0.35</x:v>
      </x:c>
      <x:c r="AB26" s="11" t="n">
        <x:v>0.35</x:v>
      </x:c>
      <x:c r="AC26" s="11" t="n">
        <x:v>0.35</x:v>
      </x:c>
    </x:row>
    <x:row r="27" ht="23" customHeight="1">
      <x:c r="A27" s="2"/>
      <x:c r="B27" s="2"/>
      <x:c r="C27" s="2"/>
      <x:c r="D27" s="2"/>
      <x:c r="E27" s="2" t="str">
        <x:v>成長</x:v>
      </x:c>
      <x:c r="F27" s="11" t="n">
        <x:v>0.4</x:v>
      </x:c>
      <x:c r="G27" s="11" t="n">
        <x:v>0.4</x:v>
      </x:c>
      <x:c r="H27" s="11" t="n">
        <x:v>0.4</x:v>
      </x:c>
      <x:c r="I27" s="11" t="n">
        <x:v>0.4</x:v>
      </x:c>
      <x:c r="J27" s="11" t="n">
        <x:v>0.4</x:v>
      </x:c>
      <x:c r="K27" s="11" t="n">
        <x:v>0.4</x:v>
      </x:c>
      <x:c r="L27" s="11" t="n">
        <x:v>0.4</x:v>
      </x:c>
      <x:c r="M27" s="11" t="n">
        <x:v>0.4</x:v>
      </x:c>
      <x:c r="N27" s="11" t="n">
        <x:v>0.4</x:v>
      </x:c>
      <x:c r="O27" s="11" t="n">
        <x:v>0.4</x:v>
      </x:c>
      <x:c r="P27" s="11" t="n">
        <x:v>0.4</x:v>
      </x:c>
      <x:c r="Q27" s="11" t="n">
        <x:v>0.4</x:v>
      </x:c>
      <x:c r="R27" s="11" t="n">
        <x:v>0.4</x:v>
      </x:c>
      <x:c r="S27" s="11" t="n">
        <x:v>0.4</x:v>
      </x:c>
      <x:c r="T27" s="11" t="n">
        <x:v>0.4</x:v>
      </x:c>
      <x:c r="U27" s="11" t="n">
        <x:v>0.4</x:v>
      </x:c>
      <x:c r="V27" s="11" t="n">
        <x:v>0.4</x:v>
      </x:c>
      <x:c r="W27" s="11" t="n">
        <x:v>0.4</x:v>
      </x:c>
      <x:c r="X27" s="11" t="n">
        <x:v>0.4</x:v>
      </x:c>
      <x:c r="Y27" s="11" t="n">
        <x:v>0.4</x:v>
      </x:c>
      <x:c r="Z27" s="11" t="n">
        <x:v>0.4</x:v>
      </x:c>
      <x:c r="AA27" s="11" t="n">
        <x:v>0.4</x:v>
      </x:c>
      <x:c r="AB27" s="11" t="n">
        <x:v>0.4</x:v>
      </x:c>
      <x:c r="AC27" s="11" t="n">
        <x:v>0.4</x:v>
      </x:c>
    </x:row>
    <x:row r="28" ht="23" customHeight="1">
      <x:c r="A28" s="2"/>
      <x:c r="B28" s="2"/>
      <x:c r="C28" s="18" t="str">
        <x:v>展示次月成為試用</x:v>
      </x:c>
      <x:c r="D28" s="18" t="str">
        <x:v>比率</x:v>
      </x:c>
      <x:c r="E28" s="18" t="str">
        <x:v>目前採用</x:v>
      </x:c>
      <x:c r="F28" s="20" t="n">
        <x:f>IF(OR($F$4=1,$F$4=2,$F$4=3),IF(ISNUMBER(INDEX(F29:F31,$F$4)),INDEX(F29:F31,$F$4),NA()),NA())</x:f>
        <x:v>0.6</x:v>
      </x:c>
      <x:c r="G28" s="20" t="n">
        <x:f>IF(OR($F$4=1,$F$4=2,$F$4=3),IF(ISNUMBER(INDEX(G29:G31,$F$4)),INDEX(G29:G31,$F$4),NA()),NA())</x:f>
        <x:v>0.6</x:v>
      </x:c>
      <x:c r="H28" s="20" t="n">
        <x:f>IF(OR($F$4=1,$F$4=2,$F$4=3),IF(ISNUMBER(INDEX(H29:H31,$F$4)),INDEX(H29:H31,$F$4),NA()),NA())</x:f>
        <x:v>0.6</x:v>
      </x:c>
      <x:c r="I28" s="20" t="n">
        <x:f>IF(OR($F$4=1,$F$4=2,$F$4=3),IF(ISNUMBER(INDEX(I29:I31,$F$4)),INDEX(I29:I31,$F$4),NA()),NA())</x:f>
        <x:v>0.6</x:v>
      </x:c>
      <x:c r="J28" s="20" t="n">
        <x:f>IF(OR($F$4=1,$F$4=2,$F$4=3),IF(ISNUMBER(INDEX(J29:J31,$F$4)),INDEX(J29:J31,$F$4),NA()),NA())</x:f>
        <x:v>0.6</x:v>
      </x:c>
      <x:c r="K28" s="20" t="n">
        <x:f>IF(OR($F$4=1,$F$4=2,$F$4=3),IF(ISNUMBER(INDEX(K29:K31,$F$4)),INDEX(K29:K31,$F$4),NA()),NA())</x:f>
        <x:v>0.6</x:v>
      </x:c>
      <x:c r="L28" s="20" t="n">
        <x:f>IF(OR($F$4=1,$F$4=2,$F$4=3),IF(ISNUMBER(INDEX(L29:L31,$F$4)),INDEX(L29:L31,$F$4),NA()),NA())</x:f>
        <x:v>0.6</x:v>
      </x:c>
      <x:c r="M28" s="20" t="n">
        <x:f>IF(OR($F$4=1,$F$4=2,$F$4=3),IF(ISNUMBER(INDEX(M29:M31,$F$4)),INDEX(M29:M31,$F$4),NA()),NA())</x:f>
        <x:v>0.6</x:v>
      </x:c>
      <x:c r="N28" s="20" t="n">
        <x:f>IF(OR($F$4=1,$F$4=2,$F$4=3),IF(ISNUMBER(INDEX(N29:N31,$F$4)),INDEX(N29:N31,$F$4),NA()),NA())</x:f>
        <x:v>0.6</x:v>
      </x:c>
      <x:c r="O28" s="20" t="n">
        <x:f>IF(OR($F$4=1,$F$4=2,$F$4=3),IF(ISNUMBER(INDEX(O29:O31,$F$4)),INDEX(O29:O31,$F$4),NA()),NA())</x:f>
        <x:v>0.6</x:v>
      </x:c>
      <x:c r="P28" s="20" t="n">
        <x:f>IF(OR($F$4=1,$F$4=2,$F$4=3),IF(ISNUMBER(INDEX(P29:P31,$F$4)),INDEX(P29:P31,$F$4),NA()),NA())</x:f>
        <x:v>0.6</x:v>
      </x:c>
      <x:c r="Q28" s="20" t="n">
        <x:f>IF(OR($F$4=1,$F$4=2,$F$4=3),IF(ISNUMBER(INDEX(Q29:Q31,$F$4)),INDEX(Q29:Q31,$F$4),NA()),NA())</x:f>
        <x:v>0.6</x:v>
      </x:c>
      <x:c r="R28" s="20" t="n">
        <x:f>IF(OR($F$4=1,$F$4=2,$F$4=3),IF(ISNUMBER(INDEX(R29:R31,$F$4)),INDEX(R29:R31,$F$4),NA()),NA())</x:f>
        <x:v>0.6</x:v>
      </x:c>
      <x:c r="S28" s="20" t="n">
        <x:f>IF(OR($F$4=1,$F$4=2,$F$4=3),IF(ISNUMBER(INDEX(S29:S31,$F$4)),INDEX(S29:S31,$F$4),NA()),NA())</x:f>
        <x:v>0.6</x:v>
      </x:c>
      <x:c r="T28" s="20" t="n">
        <x:f>IF(OR($F$4=1,$F$4=2,$F$4=3),IF(ISNUMBER(INDEX(T29:T31,$F$4)),INDEX(T29:T31,$F$4),NA()),NA())</x:f>
        <x:v>0.6</x:v>
      </x:c>
      <x:c r="U28" s="20" t="n">
        <x:f>IF(OR($F$4=1,$F$4=2,$F$4=3),IF(ISNUMBER(INDEX(U29:U31,$F$4)),INDEX(U29:U31,$F$4),NA()),NA())</x:f>
        <x:v>0.6</x:v>
      </x:c>
      <x:c r="V28" s="20" t="n">
        <x:f>IF(OR($F$4=1,$F$4=2,$F$4=3),IF(ISNUMBER(INDEX(V29:V31,$F$4)),INDEX(V29:V31,$F$4),NA()),NA())</x:f>
        <x:v>0.6</x:v>
      </x:c>
      <x:c r="W28" s="20" t="n">
        <x:f>IF(OR($F$4=1,$F$4=2,$F$4=3),IF(ISNUMBER(INDEX(W29:W31,$F$4)),INDEX(W29:W31,$F$4),NA()),NA())</x:f>
        <x:v>0.6</x:v>
      </x:c>
      <x:c r="X28" s="20" t="n">
        <x:f>IF(OR($F$4=1,$F$4=2,$F$4=3),IF(ISNUMBER(INDEX(X29:X31,$F$4)),INDEX(X29:X31,$F$4),NA()),NA())</x:f>
        <x:v>0.6</x:v>
      </x:c>
      <x:c r="Y28" s="20" t="n">
        <x:f>IF(OR($F$4=1,$F$4=2,$F$4=3),IF(ISNUMBER(INDEX(Y29:Y31,$F$4)),INDEX(Y29:Y31,$F$4),NA()),NA())</x:f>
        <x:v>0.6</x:v>
      </x:c>
      <x:c r="Z28" s="20" t="n">
        <x:f>IF(OR($F$4=1,$F$4=2,$F$4=3),IF(ISNUMBER(INDEX(Z29:Z31,$F$4)),INDEX(Z29:Z31,$F$4),NA()),NA())</x:f>
        <x:v>0.6</x:v>
      </x:c>
      <x:c r="AA28" s="20" t="n">
        <x:f>IF(OR($F$4=1,$F$4=2,$F$4=3),IF(ISNUMBER(INDEX(AA29:AA31,$F$4)),INDEX(AA29:AA31,$F$4),NA()),NA())</x:f>
        <x:v>0.6</x:v>
      </x:c>
      <x:c r="AB28" s="20" t="n">
        <x:f>IF(OR($F$4=1,$F$4=2,$F$4=3),IF(ISNUMBER(INDEX(AB29:AB31,$F$4)),INDEX(AB29:AB31,$F$4),NA()),NA())</x:f>
        <x:v>0.6</x:v>
      </x:c>
      <x:c r="AC28" s="20" t="n">
        <x:f>IF(OR($F$4=1,$F$4=2,$F$4=3),IF(ISNUMBER(INDEX(AC29:AC31,$F$4)),INDEX(AC29:AC31,$F$4),NA()),NA())</x:f>
        <x:v>0.6</x:v>
      </x:c>
    </x:row>
    <x:row r="29" ht="23" customHeight="1">
      <x:c r="A29" s="2"/>
      <x:c r="B29" s="2"/>
      <x:c r="C29" s="2"/>
      <x:c r="D29" s="2"/>
      <x:c r="E29" s="2" t="str">
        <x:v>保守</x:v>
      </x:c>
      <x:c r="F29" s="11" t="n">
        <x:v>0.5</x:v>
      </x:c>
      <x:c r="G29" s="11" t="n">
        <x:v>0.5</x:v>
      </x:c>
      <x:c r="H29" s="11" t="n">
        <x:v>0.5</x:v>
      </x:c>
      <x:c r="I29" s="11" t="n">
        <x:v>0.5</x:v>
      </x:c>
      <x:c r="J29" s="11" t="n">
        <x:v>0.5</x:v>
      </x:c>
      <x:c r="K29" s="11" t="n">
        <x:v>0.5</x:v>
      </x:c>
      <x:c r="L29" s="11" t="n">
        <x:v>0.5</x:v>
      </x:c>
      <x:c r="M29" s="11" t="n">
        <x:v>0.5</x:v>
      </x:c>
      <x:c r="N29" s="11" t="n">
        <x:v>0.5</x:v>
      </x:c>
      <x:c r="O29" s="11" t="n">
        <x:v>0.5</x:v>
      </x:c>
      <x:c r="P29" s="11" t="n">
        <x:v>0.5</x:v>
      </x:c>
      <x:c r="Q29" s="11" t="n">
        <x:v>0.5</x:v>
      </x:c>
      <x:c r="R29" s="11" t="n">
        <x:v>0.5</x:v>
      </x:c>
      <x:c r="S29" s="11" t="n">
        <x:v>0.5</x:v>
      </x:c>
      <x:c r="T29" s="11" t="n">
        <x:v>0.5</x:v>
      </x:c>
      <x:c r="U29" s="11" t="n">
        <x:v>0.5</x:v>
      </x:c>
      <x:c r="V29" s="11" t="n">
        <x:v>0.5</x:v>
      </x:c>
      <x:c r="W29" s="11" t="n">
        <x:v>0.5</x:v>
      </x:c>
      <x:c r="X29" s="11" t="n">
        <x:v>0.5</x:v>
      </x:c>
      <x:c r="Y29" s="11" t="n">
        <x:v>0.5</x:v>
      </x:c>
      <x:c r="Z29" s="11" t="n">
        <x:v>0.5</x:v>
      </x:c>
      <x:c r="AA29" s="11" t="n">
        <x:v>0.5</x:v>
      </x:c>
      <x:c r="AB29" s="11" t="n">
        <x:v>0.5</x:v>
      </x:c>
      <x:c r="AC29" s="11" t="n">
        <x:v>0.5</x:v>
      </x:c>
    </x:row>
    <x:row r="30" ht="23" customHeight="1">
      <x:c r="A30" s="2"/>
      <x:c r="B30" s="2"/>
      <x:c r="C30" s="2"/>
      <x:c r="D30" s="2"/>
      <x:c r="E30" s="2" t="str">
        <x:v>基準</x:v>
      </x:c>
      <x:c r="F30" s="11" t="n">
        <x:v>0.6</x:v>
      </x:c>
      <x:c r="G30" s="11" t="n">
        <x:v>0.6</x:v>
      </x:c>
      <x:c r="H30" s="11" t="n">
        <x:v>0.6</x:v>
      </x:c>
      <x:c r="I30" s="11" t="n">
        <x:v>0.6</x:v>
      </x:c>
      <x:c r="J30" s="11" t="n">
        <x:v>0.6</x:v>
      </x:c>
      <x:c r="K30" s="11" t="n">
        <x:v>0.6</x:v>
      </x:c>
      <x:c r="L30" s="11" t="n">
        <x:v>0.6</x:v>
      </x:c>
      <x:c r="M30" s="11" t="n">
        <x:v>0.6</x:v>
      </x:c>
      <x:c r="N30" s="11" t="n">
        <x:v>0.6</x:v>
      </x:c>
      <x:c r="O30" s="11" t="n">
        <x:v>0.6</x:v>
      </x:c>
      <x:c r="P30" s="11" t="n">
        <x:v>0.6</x:v>
      </x:c>
      <x:c r="Q30" s="11" t="n">
        <x:v>0.6</x:v>
      </x:c>
      <x:c r="R30" s="11" t="n">
        <x:v>0.6</x:v>
      </x:c>
      <x:c r="S30" s="11" t="n">
        <x:v>0.6</x:v>
      </x:c>
      <x:c r="T30" s="11" t="n">
        <x:v>0.6</x:v>
      </x:c>
      <x:c r="U30" s="11" t="n">
        <x:v>0.6</x:v>
      </x:c>
      <x:c r="V30" s="11" t="n">
        <x:v>0.6</x:v>
      </x:c>
      <x:c r="W30" s="11" t="n">
        <x:v>0.6</x:v>
      </x:c>
      <x:c r="X30" s="11" t="n">
        <x:v>0.6</x:v>
      </x:c>
      <x:c r="Y30" s="11" t="n">
        <x:v>0.6</x:v>
      </x:c>
      <x:c r="Z30" s="11" t="n">
        <x:v>0.6</x:v>
      </x:c>
      <x:c r="AA30" s="11" t="n">
        <x:v>0.6</x:v>
      </x:c>
      <x:c r="AB30" s="11" t="n">
        <x:v>0.6</x:v>
      </x:c>
      <x:c r="AC30" s="11" t="n">
        <x:v>0.6</x:v>
      </x:c>
    </x:row>
    <x:row r="31" ht="23" customHeight="1">
      <x:c r="A31" s="2"/>
      <x:c r="B31" s="2"/>
      <x:c r="C31" s="2"/>
      <x:c r="D31" s="2"/>
      <x:c r="E31" s="2" t="str">
        <x:v>成長</x:v>
      </x:c>
      <x:c r="F31" s="11" t="n">
        <x:v>0.65</x:v>
      </x:c>
      <x:c r="G31" s="11" t="n">
        <x:v>0.65</x:v>
      </x:c>
      <x:c r="H31" s="11" t="n">
        <x:v>0.65</x:v>
      </x:c>
      <x:c r="I31" s="11" t="n">
        <x:v>0.65</x:v>
      </x:c>
      <x:c r="J31" s="11" t="n">
        <x:v>0.65</x:v>
      </x:c>
      <x:c r="K31" s="11" t="n">
        <x:v>0.65</x:v>
      </x:c>
      <x:c r="L31" s="11" t="n">
        <x:v>0.65</x:v>
      </x:c>
      <x:c r="M31" s="11" t="n">
        <x:v>0.65</x:v>
      </x:c>
      <x:c r="N31" s="11" t="n">
        <x:v>0.65</x:v>
      </x:c>
      <x:c r="O31" s="11" t="n">
        <x:v>0.65</x:v>
      </x:c>
      <x:c r="P31" s="11" t="n">
        <x:v>0.65</x:v>
      </x:c>
      <x:c r="Q31" s="11" t="n">
        <x:v>0.65</x:v>
      </x:c>
      <x:c r="R31" s="11" t="n">
        <x:v>0.65</x:v>
      </x:c>
      <x:c r="S31" s="11" t="n">
        <x:v>0.65</x:v>
      </x:c>
      <x:c r="T31" s="11" t="n">
        <x:v>0.65</x:v>
      </x:c>
      <x:c r="U31" s="11" t="n">
        <x:v>0.65</x:v>
      </x:c>
      <x:c r="V31" s="11" t="n">
        <x:v>0.65</x:v>
      </x:c>
      <x:c r="W31" s="11" t="n">
        <x:v>0.65</x:v>
      </x:c>
      <x:c r="X31" s="11" t="n">
        <x:v>0.65</x:v>
      </x:c>
      <x:c r="Y31" s="11" t="n">
        <x:v>0.65</x:v>
      </x:c>
      <x:c r="Z31" s="11" t="n">
        <x:v>0.65</x:v>
      </x:c>
      <x:c r="AA31" s="11" t="n">
        <x:v>0.65</x:v>
      </x:c>
      <x:c r="AB31" s="11" t="n">
        <x:v>0.65</x:v>
      </x:c>
      <x:c r="AC31" s="11" t="n">
        <x:v>0.65</x:v>
      </x:c>
    </x:row>
    <x:row r="32" ht="23" customHeight="1">
      <x:c r="A32" s="2"/>
      <x:c r="B32" s="2"/>
      <x:c r="C32" s="18" t="str">
        <x:v>試用次月成為付費</x:v>
      </x:c>
      <x:c r="D32" s="18" t="str">
        <x:v>比率</x:v>
      </x:c>
      <x:c r="E32" s="18" t="str">
        <x:v>目前採用</x:v>
      </x:c>
      <x:c r="F32" s="20" t="n">
        <x:f>IF(OR($F$4=1,$F$4=2,$F$4=3),IF(ISNUMBER(INDEX(F33:F35,$F$4)),INDEX(F33:F35,$F$4),NA()),NA())</x:f>
        <x:v>0.5</x:v>
      </x:c>
      <x:c r="G32" s="20" t="n">
        <x:f>IF(OR($F$4=1,$F$4=2,$F$4=3),IF(ISNUMBER(INDEX(G33:G35,$F$4)),INDEX(G33:G35,$F$4),NA()),NA())</x:f>
        <x:v>0.5</x:v>
      </x:c>
      <x:c r="H32" s="20" t="n">
        <x:f>IF(OR($F$4=1,$F$4=2,$F$4=3),IF(ISNUMBER(INDEX(H33:H35,$F$4)),INDEX(H33:H35,$F$4),NA()),NA())</x:f>
        <x:v>0.5</x:v>
      </x:c>
      <x:c r="I32" s="20" t="n">
        <x:f>IF(OR($F$4=1,$F$4=2,$F$4=3),IF(ISNUMBER(INDEX(I33:I35,$F$4)),INDEX(I33:I35,$F$4),NA()),NA())</x:f>
        <x:v>0.5</x:v>
      </x:c>
      <x:c r="J32" s="20" t="n">
        <x:f>IF(OR($F$4=1,$F$4=2,$F$4=3),IF(ISNUMBER(INDEX(J33:J35,$F$4)),INDEX(J33:J35,$F$4),NA()),NA())</x:f>
        <x:v>0.5</x:v>
      </x:c>
      <x:c r="K32" s="20" t="n">
        <x:f>IF(OR($F$4=1,$F$4=2,$F$4=3),IF(ISNUMBER(INDEX(K33:K35,$F$4)),INDEX(K33:K35,$F$4),NA()),NA())</x:f>
        <x:v>0.5</x:v>
      </x:c>
      <x:c r="L32" s="20" t="n">
        <x:f>IF(OR($F$4=1,$F$4=2,$F$4=3),IF(ISNUMBER(INDEX(L33:L35,$F$4)),INDEX(L33:L35,$F$4),NA()),NA())</x:f>
        <x:v>0.5</x:v>
      </x:c>
      <x:c r="M32" s="20" t="n">
        <x:f>IF(OR($F$4=1,$F$4=2,$F$4=3),IF(ISNUMBER(INDEX(M33:M35,$F$4)),INDEX(M33:M35,$F$4),NA()),NA())</x:f>
        <x:v>0.5</x:v>
      </x:c>
      <x:c r="N32" s="20" t="n">
        <x:f>IF(OR($F$4=1,$F$4=2,$F$4=3),IF(ISNUMBER(INDEX(N33:N35,$F$4)),INDEX(N33:N35,$F$4),NA()),NA())</x:f>
        <x:v>0.5</x:v>
      </x:c>
      <x:c r="O32" s="20" t="n">
        <x:f>IF(OR($F$4=1,$F$4=2,$F$4=3),IF(ISNUMBER(INDEX(O33:O35,$F$4)),INDEX(O33:O35,$F$4),NA()),NA())</x:f>
        <x:v>0.5</x:v>
      </x:c>
      <x:c r="P32" s="20" t="n">
        <x:f>IF(OR($F$4=1,$F$4=2,$F$4=3),IF(ISNUMBER(INDEX(P33:P35,$F$4)),INDEX(P33:P35,$F$4),NA()),NA())</x:f>
        <x:v>0.5</x:v>
      </x:c>
      <x:c r="Q32" s="20" t="n">
        <x:f>IF(OR($F$4=1,$F$4=2,$F$4=3),IF(ISNUMBER(INDEX(Q33:Q35,$F$4)),INDEX(Q33:Q35,$F$4),NA()),NA())</x:f>
        <x:v>0.5</x:v>
      </x:c>
      <x:c r="R32" s="20" t="n">
        <x:f>IF(OR($F$4=1,$F$4=2,$F$4=3),IF(ISNUMBER(INDEX(R33:R35,$F$4)),INDEX(R33:R35,$F$4),NA()),NA())</x:f>
        <x:v>0.5</x:v>
      </x:c>
      <x:c r="S32" s="20" t="n">
        <x:f>IF(OR($F$4=1,$F$4=2,$F$4=3),IF(ISNUMBER(INDEX(S33:S35,$F$4)),INDEX(S33:S35,$F$4),NA()),NA())</x:f>
        <x:v>0.5</x:v>
      </x:c>
      <x:c r="T32" s="20" t="n">
        <x:f>IF(OR($F$4=1,$F$4=2,$F$4=3),IF(ISNUMBER(INDEX(T33:T35,$F$4)),INDEX(T33:T35,$F$4),NA()),NA())</x:f>
        <x:v>0.5</x:v>
      </x:c>
      <x:c r="U32" s="20" t="n">
        <x:f>IF(OR($F$4=1,$F$4=2,$F$4=3),IF(ISNUMBER(INDEX(U33:U35,$F$4)),INDEX(U33:U35,$F$4),NA()),NA())</x:f>
        <x:v>0.5</x:v>
      </x:c>
      <x:c r="V32" s="20" t="n">
        <x:f>IF(OR($F$4=1,$F$4=2,$F$4=3),IF(ISNUMBER(INDEX(V33:V35,$F$4)),INDEX(V33:V35,$F$4),NA()),NA())</x:f>
        <x:v>0.5</x:v>
      </x:c>
      <x:c r="W32" s="20" t="n">
        <x:f>IF(OR($F$4=1,$F$4=2,$F$4=3),IF(ISNUMBER(INDEX(W33:W35,$F$4)),INDEX(W33:W35,$F$4),NA()),NA())</x:f>
        <x:v>0.5</x:v>
      </x:c>
      <x:c r="X32" s="20" t="n">
        <x:f>IF(OR($F$4=1,$F$4=2,$F$4=3),IF(ISNUMBER(INDEX(X33:X35,$F$4)),INDEX(X33:X35,$F$4),NA()),NA())</x:f>
        <x:v>0.5</x:v>
      </x:c>
      <x:c r="Y32" s="20" t="n">
        <x:f>IF(OR($F$4=1,$F$4=2,$F$4=3),IF(ISNUMBER(INDEX(Y33:Y35,$F$4)),INDEX(Y33:Y35,$F$4),NA()),NA())</x:f>
        <x:v>0.5</x:v>
      </x:c>
      <x:c r="Z32" s="20" t="n">
        <x:f>IF(OR($F$4=1,$F$4=2,$F$4=3),IF(ISNUMBER(INDEX(Z33:Z35,$F$4)),INDEX(Z33:Z35,$F$4),NA()),NA())</x:f>
        <x:v>0.5</x:v>
      </x:c>
      <x:c r="AA32" s="20" t="n">
        <x:f>IF(OR($F$4=1,$F$4=2,$F$4=3),IF(ISNUMBER(INDEX(AA33:AA35,$F$4)),INDEX(AA33:AA35,$F$4),NA()),NA())</x:f>
        <x:v>0.5</x:v>
      </x:c>
      <x:c r="AB32" s="20" t="n">
        <x:f>IF(OR($F$4=1,$F$4=2,$F$4=3),IF(ISNUMBER(INDEX(AB33:AB35,$F$4)),INDEX(AB33:AB35,$F$4),NA()),NA())</x:f>
        <x:v>0.5</x:v>
      </x:c>
      <x:c r="AC32" s="20" t="n">
        <x:f>IF(OR($F$4=1,$F$4=2,$F$4=3),IF(ISNUMBER(INDEX(AC33:AC35,$F$4)),INDEX(AC33:AC35,$F$4),NA()),NA())</x:f>
        <x:v>0.5</x:v>
      </x:c>
    </x:row>
    <x:row r="33" ht="23" customHeight="1">
      <x:c r="A33" s="2"/>
      <x:c r="B33" s="2"/>
      <x:c r="C33" s="2"/>
      <x:c r="D33" s="2"/>
      <x:c r="E33" s="2" t="str">
        <x:v>保守</x:v>
      </x:c>
      <x:c r="F33" s="11" t="n">
        <x:v>0.35</x:v>
      </x:c>
      <x:c r="G33" s="11" t="n">
        <x:v>0.35</x:v>
      </x:c>
      <x:c r="H33" s="11" t="n">
        <x:v>0.35</x:v>
      </x:c>
      <x:c r="I33" s="11" t="n">
        <x:v>0.35</x:v>
      </x:c>
      <x:c r="J33" s="11" t="n">
        <x:v>0.35</x:v>
      </x:c>
      <x:c r="K33" s="11" t="n">
        <x:v>0.35</x:v>
      </x:c>
      <x:c r="L33" s="11" t="n">
        <x:v>0.35</x:v>
      </x:c>
      <x:c r="M33" s="11" t="n">
        <x:v>0.35</x:v>
      </x:c>
      <x:c r="N33" s="11" t="n">
        <x:v>0.35</x:v>
      </x:c>
      <x:c r="O33" s="11" t="n">
        <x:v>0.35</x:v>
      </x:c>
      <x:c r="P33" s="11" t="n">
        <x:v>0.35</x:v>
      </x:c>
      <x:c r="Q33" s="11" t="n">
        <x:v>0.35</x:v>
      </x:c>
      <x:c r="R33" s="11" t="n">
        <x:v>0.35</x:v>
      </x:c>
      <x:c r="S33" s="11" t="n">
        <x:v>0.35</x:v>
      </x:c>
      <x:c r="T33" s="11" t="n">
        <x:v>0.35</x:v>
      </x:c>
      <x:c r="U33" s="11" t="n">
        <x:v>0.35</x:v>
      </x:c>
      <x:c r="V33" s="11" t="n">
        <x:v>0.35</x:v>
      </x:c>
      <x:c r="W33" s="11" t="n">
        <x:v>0.35</x:v>
      </x:c>
      <x:c r="X33" s="11" t="n">
        <x:v>0.35</x:v>
      </x:c>
      <x:c r="Y33" s="11" t="n">
        <x:v>0.35</x:v>
      </x:c>
      <x:c r="Z33" s="11" t="n">
        <x:v>0.35</x:v>
      </x:c>
      <x:c r="AA33" s="11" t="n">
        <x:v>0.35</x:v>
      </x:c>
      <x:c r="AB33" s="11" t="n">
        <x:v>0.35</x:v>
      </x:c>
      <x:c r="AC33" s="11" t="n">
        <x:v>0.35</x:v>
      </x:c>
    </x:row>
    <x:row r="34" ht="23" customHeight="1">
      <x:c r="A34" s="2"/>
      <x:c r="B34" s="2"/>
      <x:c r="C34" s="2"/>
      <x:c r="D34" s="2"/>
      <x:c r="E34" s="2" t="str">
        <x:v>基準</x:v>
      </x:c>
      <x:c r="F34" s="11" t="n">
        <x:v>0.5</x:v>
      </x:c>
      <x:c r="G34" s="11" t="n">
        <x:v>0.5</x:v>
      </x:c>
      <x:c r="H34" s="11" t="n">
        <x:v>0.5</x:v>
      </x:c>
      <x:c r="I34" s="11" t="n">
        <x:v>0.5</x:v>
      </x:c>
      <x:c r="J34" s="11" t="n">
        <x:v>0.5</x:v>
      </x:c>
      <x:c r="K34" s="11" t="n">
        <x:v>0.5</x:v>
      </x:c>
      <x:c r="L34" s="11" t="n">
        <x:v>0.5</x:v>
      </x:c>
      <x:c r="M34" s="11" t="n">
        <x:v>0.5</x:v>
      </x:c>
      <x:c r="N34" s="11" t="n">
        <x:v>0.5</x:v>
      </x:c>
      <x:c r="O34" s="11" t="n">
        <x:v>0.5</x:v>
      </x:c>
      <x:c r="P34" s="11" t="n">
        <x:v>0.5</x:v>
      </x:c>
      <x:c r="Q34" s="11" t="n">
        <x:v>0.5</x:v>
      </x:c>
      <x:c r="R34" s="11" t="n">
        <x:v>0.5</x:v>
      </x:c>
      <x:c r="S34" s="11" t="n">
        <x:v>0.5</x:v>
      </x:c>
      <x:c r="T34" s="11" t="n">
        <x:v>0.5</x:v>
      </x:c>
      <x:c r="U34" s="11" t="n">
        <x:v>0.5</x:v>
      </x:c>
      <x:c r="V34" s="11" t="n">
        <x:v>0.5</x:v>
      </x:c>
      <x:c r="W34" s="11" t="n">
        <x:v>0.5</x:v>
      </x:c>
      <x:c r="X34" s="11" t="n">
        <x:v>0.5</x:v>
      </x:c>
      <x:c r="Y34" s="11" t="n">
        <x:v>0.5</x:v>
      </x:c>
      <x:c r="Z34" s="11" t="n">
        <x:v>0.5</x:v>
      </x:c>
      <x:c r="AA34" s="11" t="n">
        <x:v>0.5</x:v>
      </x:c>
      <x:c r="AB34" s="11" t="n">
        <x:v>0.5</x:v>
      </x:c>
      <x:c r="AC34" s="11" t="n">
        <x:v>0.5</x:v>
      </x:c>
    </x:row>
    <x:row r="35" ht="23" customHeight="1">
      <x:c r="A35" s="2"/>
      <x:c r="B35" s="2"/>
      <x:c r="C35" s="2"/>
      <x:c r="D35" s="2"/>
      <x:c r="E35" s="2" t="str">
        <x:v>成長</x:v>
      </x:c>
      <x:c r="F35" s="11" t="n">
        <x:v>0.6</x:v>
      </x:c>
      <x:c r="G35" s="11" t="n">
        <x:v>0.6</x:v>
      </x:c>
      <x:c r="H35" s="11" t="n">
        <x:v>0.6</x:v>
      </x:c>
      <x:c r="I35" s="11" t="n">
        <x:v>0.6</x:v>
      </x:c>
      <x:c r="J35" s="11" t="n">
        <x:v>0.6</x:v>
      </x:c>
      <x:c r="K35" s="11" t="n">
        <x:v>0.6</x:v>
      </x:c>
      <x:c r="L35" s="11" t="n">
        <x:v>0.6</x:v>
      </x:c>
      <x:c r="M35" s="11" t="n">
        <x:v>0.6</x:v>
      </x:c>
      <x:c r="N35" s="11" t="n">
        <x:v>0.6</x:v>
      </x:c>
      <x:c r="O35" s="11" t="n">
        <x:v>0.6</x:v>
      </x:c>
      <x:c r="P35" s="11" t="n">
        <x:v>0.6</x:v>
      </x:c>
      <x:c r="Q35" s="11" t="n">
        <x:v>0.6</x:v>
      </x:c>
      <x:c r="R35" s="11" t="n">
        <x:v>0.6</x:v>
      </x:c>
      <x:c r="S35" s="11" t="n">
        <x:v>0.6</x:v>
      </x:c>
      <x:c r="T35" s="11" t="n">
        <x:v>0.6</x:v>
      </x:c>
      <x:c r="U35" s="11" t="n">
        <x:v>0.6</x:v>
      </x:c>
      <x:c r="V35" s="11" t="n">
        <x:v>0.6</x:v>
      </x:c>
      <x:c r="W35" s="11" t="n">
        <x:v>0.6</x:v>
      </x:c>
      <x:c r="X35" s="11" t="n">
        <x:v>0.6</x:v>
      </x:c>
      <x:c r="Y35" s="11" t="n">
        <x:v>0.6</x:v>
      </x:c>
      <x:c r="Z35" s="11" t="n">
        <x:v>0.6</x:v>
      </x:c>
      <x:c r="AA35" s="11" t="n">
        <x:v>0.6</x:v>
      </x:c>
      <x:c r="AB35" s="11" t="n">
        <x:v>0.6</x:v>
      </x:c>
      <x:c r="AC35" s="11" t="n">
        <x:v>0.6</x:v>
      </x:c>
    </x:row>
    <x:row r="36" ht="23" customHeight="1">
      <x:c r="A36" s="2"/>
      <x:c r="B36" s="2"/>
      <x:c r="C36" s="18" t="str">
        <x:v>月流失率</x:v>
      </x:c>
      <x:c r="D36" s="18" t="str">
        <x:v>比率</x:v>
      </x:c>
      <x:c r="E36" s="18" t="str">
        <x:v>目前採用</x:v>
      </x:c>
      <x:c r="F36" s="20" t="n">
        <x:f>IF(OR($F$4=1,$F$4=2,$F$4=3),IF(ISNUMBER(INDEX(F37:F39,$F$4)),INDEX(F37:F39,$F$4),NA()),NA())</x:f>
        <x:v>0.025</x:v>
      </x:c>
      <x:c r="G36" s="20" t="n">
        <x:f>IF(OR($F$4=1,$F$4=2,$F$4=3),IF(ISNUMBER(INDEX(G37:G39,$F$4)),INDEX(G37:G39,$F$4),NA()),NA())</x:f>
        <x:v>0.025</x:v>
      </x:c>
      <x:c r="H36" s="20" t="n">
        <x:f>IF(OR($F$4=1,$F$4=2,$F$4=3),IF(ISNUMBER(INDEX(H37:H39,$F$4)),INDEX(H37:H39,$F$4),NA()),NA())</x:f>
        <x:v>0.025</x:v>
      </x:c>
      <x:c r="I36" s="20" t="n">
        <x:f>IF(OR($F$4=1,$F$4=2,$F$4=3),IF(ISNUMBER(INDEX(I37:I39,$F$4)),INDEX(I37:I39,$F$4),NA()),NA())</x:f>
        <x:v>0.025</x:v>
      </x:c>
      <x:c r="J36" s="20" t="n">
        <x:f>IF(OR($F$4=1,$F$4=2,$F$4=3),IF(ISNUMBER(INDEX(J37:J39,$F$4)),INDEX(J37:J39,$F$4),NA()),NA())</x:f>
        <x:v>0.025</x:v>
      </x:c>
      <x:c r="K36" s="20" t="n">
        <x:f>IF(OR($F$4=1,$F$4=2,$F$4=3),IF(ISNUMBER(INDEX(K37:K39,$F$4)),INDEX(K37:K39,$F$4),NA()),NA())</x:f>
        <x:v>0.025</x:v>
      </x:c>
      <x:c r="L36" s="20" t="n">
        <x:f>IF(OR($F$4=1,$F$4=2,$F$4=3),IF(ISNUMBER(INDEX(L37:L39,$F$4)),INDEX(L37:L39,$F$4),NA()),NA())</x:f>
        <x:v>0.025</x:v>
      </x:c>
      <x:c r="M36" s="20" t="n">
        <x:f>IF(OR($F$4=1,$F$4=2,$F$4=3),IF(ISNUMBER(INDEX(M37:M39,$F$4)),INDEX(M37:M39,$F$4),NA()),NA())</x:f>
        <x:v>0.025</x:v>
      </x:c>
      <x:c r="N36" s="20" t="n">
        <x:f>IF(OR($F$4=1,$F$4=2,$F$4=3),IF(ISNUMBER(INDEX(N37:N39,$F$4)),INDEX(N37:N39,$F$4),NA()),NA())</x:f>
        <x:v>0.025</x:v>
      </x:c>
      <x:c r="O36" s="20" t="n">
        <x:f>IF(OR($F$4=1,$F$4=2,$F$4=3),IF(ISNUMBER(INDEX(O37:O39,$F$4)),INDEX(O37:O39,$F$4),NA()),NA())</x:f>
        <x:v>0.025</x:v>
      </x:c>
      <x:c r="P36" s="20" t="n">
        <x:f>IF(OR($F$4=1,$F$4=2,$F$4=3),IF(ISNUMBER(INDEX(P37:P39,$F$4)),INDEX(P37:P39,$F$4),NA()),NA())</x:f>
        <x:v>0.025</x:v>
      </x:c>
      <x:c r="Q36" s="20" t="n">
        <x:f>IF(OR($F$4=1,$F$4=2,$F$4=3),IF(ISNUMBER(INDEX(Q37:Q39,$F$4)),INDEX(Q37:Q39,$F$4),NA()),NA())</x:f>
        <x:v>0.025</x:v>
      </x:c>
      <x:c r="R36" s="20" t="n">
        <x:f>IF(OR($F$4=1,$F$4=2,$F$4=3),IF(ISNUMBER(INDEX(R37:R39,$F$4)),INDEX(R37:R39,$F$4),NA()),NA())</x:f>
        <x:v>0.025</x:v>
      </x:c>
      <x:c r="S36" s="20" t="n">
        <x:f>IF(OR($F$4=1,$F$4=2,$F$4=3),IF(ISNUMBER(INDEX(S37:S39,$F$4)),INDEX(S37:S39,$F$4),NA()),NA())</x:f>
        <x:v>0.025</x:v>
      </x:c>
      <x:c r="T36" s="20" t="n">
        <x:f>IF(OR($F$4=1,$F$4=2,$F$4=3),IF(ISNUMBER(INDEX(T37:T39,$F$4)),INDEX(T37:T39,$F$4),NA()),NA())</x:f>
        <x:v>0.025</x:v>
      </x:c>
      <x:c r="U36" s="20" t="n">
        <x:f>IF(OR($F$4=1,$F$4=2,$F$4=3),IF(ISNUMBER(INDEX(U37:U39,$F$4)),INDEX(U37:U39,$F$4),NA()),NA())</x:f>
        <x:v>0.025</x:v>
      </x:c>
      <x:c r="V36" s="20" t="n">
        <x:f>IF(OR($F$4=1,$F$4=2,$F$4=3),IF(ISNUMBER(INDEX(V37:V39,$F$4)),INDEX(V37:V39,$F$4),NA()),NA())</x:f>
        <x:v>0.025</x:v>
      </x:c>
      <x:c r="W36" s="20" t="n">
        <x:f>IF(OR($F$4=1,$F$4=2,$F$4=3),IF(ISNUMBER(INDEX(W37:W39,$F$4)),INDEX(W37:W39,$F$4),NA()),NA())</x:f>
        <x:v>0.025</x:v>
      </x:c>
      <x:c r="X36" s="20" t="n">
        <x:f>IF(OR($F$4=1,$F$4=2,$F$4=3),IF(ISNUMBER(INDEX(X37:X39,$F$4)),INDEX(X37:X39,$F$4),NA()),NA())</x:f>
        <x:v>0.025</x:v>
      </x:c>
      <x:c r="Y36" s="20" t="n">
        <x:f>IF(OR($F$4=1,$F$4=2,$F$4=3),IF(ISNUMBER(INDEX(Y37:Y39,$F$4)),INDEX(Y37:Y39,$F$4),NA()),NA())</x:f>
        <x:v>0.025</x:v>
      </x:c>
      <x:c r="Z36" s="20" t="n">
        <x:f>IF(OR($F$4=1,$F$4=2,$F$4=3),IF(ISNUMBER(INDEX(Z37:Z39,$F$4)),INDEX(Z37:Z39,$F$4),NA()),NA())</x:f>
        <x:v>0.025</x:v>
      </x:c>
      <x:c r="AA36" s="20" t="n">
        <x:f>IF(OR($F$4=1,$F$4=2,$F$4=3),IF(ISNUMBER(INDEX(AA37:AA39,$F$4)),INDEX(AA37:AA39,$F$4),NA()),NA())</x:f>
        <x:v>0.025</x:v>
      </x:c>
      <x:c r="AB36" s="20" t="n">
        <x:f>IF(OR($F$4=1,$F$4=2,$F$4=3),IF(ISNUMBER(INDEX(AB37:AB39,$F$4)),INDEX(AB37:AB39,$F$4),NA()),NA())</x:f>
        <x:v>0.025</x:v>
      </x:c>
      <x:c r="AC36" s="20" t="n">
        <x:f>IF(OR($F$4=1,$F$4=2,$F$4=3),IF(ISNUMBER(INDEX(AC37:AC39,$F$4)),INDEX(AC37:AC39,$F$4),NA()),NA())</x:f>
        <x:v>0.025</x:v>
      </x:c>
    </x:row>
    <x:row r="37" ht="23" customHeight="1">
      <x:c r="A37" s="2"/>
      <x:c r="B37" s="2"/>
      <x:c r="C37" s="2"/>
      <x:c r="D37" s="2"/>
      <x:c r="E37" s="2" t="str">
        <x:v>保守</x:v>
      </x:c>
      <x:c r="F37" s="11" t="n">
        <x:v>0.04</x:v>
      </x:c>
      <x:c r="G37" s="11" t="n">
        <x:v>0.04</x:v>
      </x:c>
      <x:c r="H37" s="11" t="n">
        <x:v>0.04</x:v>
      </x:c>
      <x:c r="I37" s="11" t="n">
        <x:v>0.04</x:v>
      </x:c>
      <x:c r="J37" s="11" t="n">
        <x:v>0.04</x:v>
      </x:c>
      <x:c r="K37" s="11" t="n">
        <x:v>0.04</x:v>
      </x:c>
      <x:c r="L37" s="11" t="n">
        <x:v>0.04</x:v>
      </x:c>
      <x:c r="M37" s="11" t="n">
        <x:v>0.04</x:v>
      </x:c>
      <x:c r="N37" s="11" t="n">
        <x:v>0.04</x:v>
      </x:c>
      <x:c r="O37" s="11" t="n">
        <x:v>0.04</x:v>
      </x:c>
      <x:c r="P37" s="11" t="n">
        <x:v>0.04</x:v>
      </x:c>
      <x:c r="Q37" s="11" t="n">
        <x:v>0.04</x:v>
      </x:c>
      <x:c r="R37" s="11" t="n">
        <x:v>0.04</x:v>
      </x:c>
      <x:c r="S37" s="11" t="n">
        <x:v>0.04</x:v>
      </x:c>
      <x:c r="T37" s="11" t="n">
        <x:v>0.04</x:v>
      </x:c>
      <x:c r="U37" s="11" t="n">
        <x:v>0.04</x:v>
      </x:c>
      <x:c r="V37" s="11" t="n">
        <x:v>0.04</x:v>
      </x:c>
      <x:c r="W37" s="11" t="n">
        <x:v>0.04</x:v>
      </x:c>
      <x:c r="X37" s="11" t="n">
        <x:v>0.04</x:v>
      </x:c>
      <x:c r="Y37" s="11" t="n">
        <x:v>0.04</x:v>
      </x:c>
      <x:c r="Z37" s="11" t="n">
        <x:v>0.04</x:v>
      </x:c>
      <x:c r="AA37" s="11" t="n">
        <x:v>0.04</x:v>
      </x:c>
      <x:c r="AB37" s="11" t="n">
        <x:v>0.04</x:v>
      </x:c>
      <x:c r="AC37" s="11" t="n">
        <x:v>0.04</x:v>
      </x:c>
    </x:row>
    <x:row r="38" ht="23" customHeight="1">
      <x:c r="A38" s="2"/>
      <x:c r="B38" s="2"/>
      <x:c r="C38" s="2"/>
      <x:c r="D38" s="2"/>
      <x:c r="E38" s="2" t="str">
        <x:v>基準</x:v>
      </x:c>
      <x:c r="F38" s="11" t="n">
        <x:v>0.025</x:v>
      </x:c>
      <x:c r="G38" s="11" t="n">
        <x:v>0.025</x:v>
      </x:c>
      <x:c r="H38" s="11" t="n">
        <x:v>0.025</x:v>
      </x:c>
      <x:c r="I38" s="11" t="n">
        <x:v>0.025</x:v>
      </x:c>
      <x:c r="J38" s="11" t="n">
        <x:v>0.025</x:v>
      </x:c>
      <x:c r="K38" s="11" t="n">
        <x:v>0.025</x:v>
      </x:c>
      <x:c r="L38" s="11" t="n">
        <x:v>0.025</x:v>
      </x:c>
      <x:c r="M38" s="11" t="n">
        <x:v>0.025</x:v>
      </x:c>
      <x:c r="N38" s="11" t="n">
        <x:v>0.025</x:v>
      </x:c>
      <x:c r="O38" s="11" t="n">
        <x:v>0.025</x:v>
      </x:c>
      <x:c r="P38" s="11" t="n">
        <x:v>0.025</x:v>
      </x:c>
      <x:c r="Q38" s="11" t="n">
        <x:v>0.025</x:v>
      </x:c>
      <x:c r="R38" s="11" t="n">
        <x:v>0.025</x:v>
      </x:c>
      <x:c r="S38" s="11" t="n">
        <x:v>0.025</x:v>
      </x:c>
      <x:c r="T38" s="11" t="n">
        <x:v>0.025</x:v>
      </x:c>
      <x:c r="U38" s="11" t="n">
        <x:v>0.025</x:v>
      </x:c>
      <x:c r="V38" s="11" t="n">
        <x:v>0.025</x:v>
      </x:c>
      <x:c r="W38" s="11" t="n">
        <x:v>0.025</x:v>
      </x:c>
      <x:c r="X38" s="11" t="n">
        <x:v>0.025</x:v>
      </x:c>
      <x:c r="Y38" s="11" t="n">
        <x:v>0.025</x:v>
      </x:c>
      <x:c r="Z38" s="11" t="n">
        <x:v>0.025</x:v>
      </x:c>
      <x:c r="AA38" s="11" t="n">
        <x:v>0.025</x:v>
      </x:c>
      <x:c r="AB38" s="11" t="n">
        <x:v>0.025</x:v>
      </x:c>
      <x:c r="AC38" s="11" t="n">
        <x:v>0.025</x:v>
      </x:c>
    </x:row>
    <x:row r="39" ht="23" customHeight="1">
      <x:c r="A39" s="2"/>
      <x:c r="B39" s="2"/>
      <x:c r="C39" s="2"/>
      <x:c r="D39" s="2"/>
      <x:c r="E39" s="2" t="str">
        <x:v>成長</x:v>
      </x:c>
      <x:c r="F39" s="11" t="n">
        <x:v>0.015</x:v>
      </x:c>
      <x:c r="G39" s="11" t="n">
        <x:v>0.015</x:v>
      </x:c>
      <x:c r="H39" s="11" t="n">
        <x:v>0.015</x:v>
      </x:c>
      <x:c r="I39" s="11" t="n">
        <x:v>0.015</x:v>
      </x:c>
      <x:c r="J39" s="11" t="n">
        <x:v>0.015</x:v>
      </x:c>
      <x:c r="K39" s="11" t="n">
        <x:v>0.015</x:v>
      </x:c>
      <x:c r="L39" s="11" t="n">
        <x:v>0.015</x:v>
      </x:c>
      <x:c r="M39" s="11" t="n">
        <x:v>0.015</x:v>
      </x:c>
      <x:c r="N39" s="11" t="n">
        <x:v>0.015</x:v>
      </x:c>
      <x:c r="O39" s="11" t="n">
        <x:v>0.015</x:v>
      </x:c>
      <x:c r="P39" s="11" t="n">
        <x:v>0.015</x:v>
      </x:c>
      <x:c r="Q39" s="11" t="n">
        <x:v>0.015</x:v>
      </x:c>
      <x:c r="R39" s="11" t="n">
        <x:v>0.015</x:v>
      </x:c>
      <x:c r="S39" s="11" t="n">
        <x:v>0.015</x:v>
      </x:c>
      <x:c r="T39" s="11" t="n">
        <x:v>0.015</x:v>
      </x:c>
      <x:c r="U39" s="11" t="n">
        <x:v>0.015</x:v>
      </x:c>
      <x:c r="V39" s="11" t="n">
        <x:v>0.015</x:v>
      </x:c>
      <x:c r="W39" s="11" t="n">
        <x:v>0.015</x:v>
      </x:c>
      <x:c r="X39" s="11" t="n">
        <x:v>0.015</x:v>
      </x:c>
      <x:c r="Y39" s="11" t="n">
        <x:v>0.015</x:v>
      </x:c>
      <x:c r="Z39" s="11" t="n">
        <x:v>0.015</x:v>
      </x:c>
      <x:c r="AA39" s="11" t="n">
        <x:v>0.015</x:v>
      </x:c>
      <x:c r="AB39" s="11" t="n">
        <x:v>0.015</x:v>
      </x:c>
      <x:c r="AC39" s="11" t="n">
        <x:v>0.015</x:v>
      </x:c>
    </x:row>
    <x:row r="40" ht="23" customHeight="1">
      <x:c r="A40" s="2"/>
      <x:c r="B40" s="2"/>
      <x:c r="C40" s="18" t="str">
        <x:v>每店月費</x:v>
      </x:c>
      <x:c r="D40" s="18" t="str">
        <x:v>NT$</x:v>
      </x:c>
      <x:c r="E40" s="18" t="str">
        <x:v>目前採用</x:v>
      </x:c>
      <x:c r="F40" s="21" t="n">
        <x:f>IF(OR($F$4=1,$F$4=2,$F$4=3),IF(ISNUMBER(INDEX(F41:F43,$F$4)),INDEX(F41:F43,$F$4),NA()),NA())</x:f>
        <x:v>1290</x:v>
      </x:c>
      <x:c r="G40" s="21" t="n">
        <x:f>IF(OR($F$4=1,$F$4=2,$F$4=3),IF(ISNUMBER(INDEX(G41:G43,$F$4)),INDEX(G41:G43,$F$4),NA()),NA())</x:f>
        <x:v>1290</x:v>
      </x:c>
      <x:c r="H40" s="21" t="n">
        <x:f>IF(OR($F$4=1,$F$4=2,$F$4=3),IF(ISNUMBER(INDEX(H41:H43,$F$4)),INDEX(H41:H43,$F$4),NA()),NA())</x:f>
        <x:v>1290</x:v>
      </x:c>
      <x:c r="I40" s="21" t="n">
        <x:f>IF(OR($F$4=1,$F$4=2,$F$4=3),IF(ISNUMBER(INDEX(I41:I43,$F$4)),INDEX(I41:I43,$F$4),NA()),NA())</x:f>
        <x:v>1290</x:v>
      </x:c>
      <x:c r="J40" s="21" t="n">
        <x:f>IF(OR($F$4=1,$F$4=2,$F$4=3),IF(ISNUMBER(INDEX(J41:J43,$F$4)),INDEX(J41:J43,$F$4),NA()),NA())</x:f>
        <x:v>1290</x:v>
      </x:c>
      <x:c r="K40" s="21" t="n">
        <x:f>IF(OR($F$4=1,$F$4=2,$F$4=3),IF(ISNUMBER(INDEX(K41:K43,$F$4)),INDEX(K41:K43,$F$4),NA()),NA())</x:f>
        <x:v>1290</x:v>
      </x:c>
      <x:c r="L40" s="21" t="n">
        <x:f>IF(OR($F$4=1,$F$4=2,$F$4=3),IF(ISNUMBER(INDEX(L41:L43,$F$4)),INDEX(L41:L43,$F$4),NA()),NA())</x:f>
        <x:v>1290</x:v>
      </x:c>
      <x:c r="M40" s="21" t="n">
        <x:f>IF(OR($F$4=1,$F$4=2,$F$4=3),IF(ISNUMBER(INDEX(M41:M43,$F$4)),INDEX(M41:M43,$F$4),NA()),NA())</x:f>
        <x:v>1290</x:v>
      </x:c>
      <x:c r="N40" s="21" t="n">
        <x:f>IF(OR($F$4=1,$F$4=2,$F$4=3),IF(ISNUMBER(INDEX(N41:N43,$F$4)),INDEX(N41:N43,$F$4),NA()),NA())</x:f>
        <x:v>1290</x:v>
      </x:c>
      <x:c r="O40" s="21" t="n">
        <x:f>IF(OR($F$4=1,$F$4=2,$F$4=3),IF(ISNUMBER(INDEX(O41:O43,$F$4)),INDEX(O41:O43,$F$4),NA()),NA())</x:f>
        <x:v>1290</x:v>
      </x:c>
      <x:c r="P40" s="21" t="n">
        <x:f>IF(OR($F$4=1,$F$4=2,$F$4=3),IF(ISNUMBER(INDEX(P41:P43,$F$4)),INDEX(P41:P43,$F$4),NA()),NA())</x:f>
        <x:v>1290</x:v>
      </x:c>
      <x:c r="Q40" s="21" t="n">
        <x:f>IF(OR($F$4=1,$F$4=2,$F$4=3),IF(ISNUMBER(INDEX(Q41:Q43,$F$4)),INDEX(Q41:Q43,$F$4),NA()),NA())</x:f>
        <x:v>1290</x:v>
      </x:c>
      <x:c r="R40" s="21" t="n">
        <x:f>IF(OR($F$4=1,$F$4=2,$F$4=3),IF(ISNUMBER(INDEX(R41:R43,$F$4)),INDEX(R41:R43,$F$4),NA()),NA())</x:f>
        <x:v>1290</x:v>
      </x:c>
      <x:c r="S40" s="21" t="n">
        <x:f>IF(OR($F$4=1,$F$4=2,$F$4=3),IF(ISNUMBER(INDEX(S41:S43,$F$4)),INDEX(S41:S43,$F$4),NA()),NA())</x:f>
        <x:v>1290</x:v>
      </x:c>
      <x:c r="T40" s="21" t="n">
        <x:f>IF(OR($F$4=1,$F$4=2,$F$4=3),IF(ISNUMBER(INDEX(T41:T43,$F$4)),INDEX(T41:T43,$F$4),NA()),NA())</x:f>
        <x:v>1290</x:v>
      </x:c>
      <x:c r="U40" s="21" t="n">
        <x:f>IF(OR($F$4=1,$F$4=2,$F$4=3),IF(ISNUMBER(INDEX(U41:U43,$F$4)),INDEX(U41:U43,$F$4),NA()),NA())</x:f>
        <x:v>1290</x:v>
      </x:c>
      <x:c r="V40" s="21" t="n">
        <x:f>IF(OR($F$4=1,$F$4=2,$F$4=3),IF(ISNUMBER(INDEX(V41:V43,$F$4)),INDEX(V41:V43,$F$4),NA()),NA())</x:f>
        <x:v>1290</x:v>
      </x:c>
      <x:c r="W40" s="21" t="n">
        <x:f>IF(OR($F$4=1,$F$4=2,$F$4=3),IF(ISNUMBER(INDEX(W41:W43,$F$4)),INDEX(W41:W43,$F$4),NA()),NA())</x:f>
        <x:v>1290</x:v>
      </x:c>
      <x:c r="X40" s="21" t="n">
        <x:f>IF(OR($F$4=1,$F$4=2,$F$4=3),IF(ISNUMBER(INDEX(X41:X43,$F$4)),INDEX(X41:X43,$F$4),NA()),NA())</x:f>
        <x:v>1290</x:v>
      </x:c>
      <x:c r="Y40" s="21" t="n">
        <x:f>IF(OR($F$4=1,$F$4=2,$F$4=3),IF(ISNUMBER(INDEX(Y41:Y43,$F$4)),INDEX(Y41:Y43,$F$4),NA()),NA())</x:f>
        <x:v>1290</x:v>
      </x:c>
      <x:c r="Z40" s="21" t="n">
        <x:f>IF(OR($F$4=1,$F$4=2,$F$4=3),IF(ISNUMBER(INDEX(Z41:Z43,$F$4)),INDEX(Z41:Z43,$F$4),NA()),NA())</x:f>
        <x:v>1290</x:v>
      </x:c>
      <x:c r="AA40" s="21" t="n">
        <x:f>IF(OR($F$4=1,$F$4=2,$F$4=3),IF(ISNUMBER(INDEX(AA41:AA43,$F$4)),INDEX(AA41:AA43,$F$4),NA()),NA())</x:f>
        <x:v>1290</x:v>
      </x:c>
      <x:c r="AB40" s="21" t="n">
        <x:f>IF(OR($F$4=1,$F$4=2,$F$4=3),IF(ISNUMBER(INDEX(AB41:AB43,$F$4)),INDEX(AB41:AB43,$F$4),NA()),NA())</x:f>
        <x:v>1290</x:v>
      </x:c>
      <x:c r="AC40" s="21" t="n">
        <x:f>IF(OR($F$4=1,$F$4=2,$F$4=3),IF(ISNUMBER(INDEX(AC41:AC43,$F$4)),INDEX(AC41:AC43,$F$4),NA()),NA())</x:f>
        <x:v>1290</x:v>
      </x:c>
    </x:row>
    <x:row r="41" ht="23" customHeight="1">
      <x:c r="A41" s="2"/>
      <x:c r="B41" s="2"/>
      <x:c r="C41" s="2"/>
      <x:c r="D41" s="2"/>
      <x:c r="E41" s="2" t="str">
        <x:v>保守</x:v>
      </x:c>
      <x:c r="F41" s="10" t="n">
        <x:v>990</x:v>
      </x:c>
      <x:c r="G41" s="10" t="n">
        <x:v>990</x:v>
      </x:c>
      <x:c r="H41" s="10" t="n">
        <x:v>990</x:v>
      </x:c>
      <x:c r="I41" s="10" t="n">
        <x:v>990</x:v>
      </x:c>
      <x:c r="J41" s="10" t="n">
        <x:v>990</x:v>
      </x:c>
      <x:c r="K41" s="10" t="n">
        <x:v>990</x:v>
      </x:c>
      <x:c r="L41" s="10" t="n">
        <x:v>990</x:v>
      </x:c>
      <x:c r="M41" s="10" t="n">
        <x:v>990</x:v>
      </x:c>
      <x:c r="N41" s="10" t="n">
        <x:v>990</x:v>
      </x:c>
      <x:c r="O41" s="10" t="n">
        <x:v>990</x:v>
      </x:c>
      <x:c r="P41" s="10" t="n">
        <x:v>990</x:v>
      </x:c>
      <x:c r="Q41" s="10" t="n">
        <x:v>990</x:v>
      </x:c>
      <x:c r="R41" s="10" t="n">
        <x:v>990</x:v>
      </x:c>
      <x:c r="S41" s="10" t="n">
        <x:v>990</x:v>
      </x:c>
      <x:c r="T41" s="10" t="n">
        <x:v>990</x:v>
      </x:c>
      <x:c r="U41" s="10" t="n">
        <x:v>990</x:v>
      </x:c>
      <x:c r="V41" s="10" t="n">
        <x:v>990</x:v>
      </x:c>
      <x:c r="W41" s="10" t="n">
        <x:v>990</x:v>
      </x:c>
      <x:c r="X41" s="10" t="n">
        <x:v>990</x:v>
      </x:c>
      <x:c r="Y41" s="10" t="n">
        <x:v>990</x:v>
      </x:c>
      <x:c r="Z41" s="10" t="n">
        <x:v>990</x:v>
      </x:c>
      <x:c r="AA41" s="10" t="n">
        <x:v>990</x:v>
      </x:c>
      <x:c r="AB41" s="10" t="n">
        <x:v>990</x:v>
      </x:c>
      <x:c r="AC41" s="10" t="n">
        <x:v>990</x:v>
      </x:c>
    </x:row>
    <x:row r="42" ht="23" customHeight="1">
      <x:c r="A42" s="2"/>
      <x:c r="B42" s="2"/>
      <x:c r="C42" s="2"/>
      <x:c r="D42" s="2"/>
      <x:c r="E42" s="2" t="str">
        <x:v>基準</x:v>
      </x:c>
      <x:c r="F42" s="10" t="n">
        <x:v>1290</x:v>
      </x:c>
      <x:c r="G42" s="10" t="n">
        <x:v>1290</x:v>
      </x:c>
      <x:c r="H42" s="10" t="n">
        <x:v>1290</x:v>
      </x:c>
      <x:c r="I42" s="10" t="n">
        <x:v>1290</x:v>
      </x:c>
      <x:c r="J42" s="10" t="n">
        <x:v>1290</x:v>
      </x:c>
      <x:c r="K42" s="10" t="n">
        <x:v>1290</x:v>
      </x:c>
      <x:c r="L42" s="10" t="n">
        <x:v>1290</x:v>
      </x:c>
      <x:c r="M42" s="10" t="n">
        <x:v>1290</x:v>
      </x:c>
      <x:c r="N42" s="10" t="n">
        <x:v>1290</x:v>
      </x:c>
      <x:c r="O42" s="10" t="n">
        <x:v>1290</x:v>
      </x:c>
      <x:c r="P42" s="10" t="n">
        <x:v>1290</x:v>
      </x:c>
      <x:c r="Q42" s="10" t="n">
        <x:v>1290</x:v>
      </x:c>
      <x:c r="R42" s="10" t="n">
        <x:v>1290</x:v>
      </x:c>
      <x:c r="S42" s="10" t="n">
        <x:v>1290</x:v>
      </x:c>
      <x:c r="T42" s="10" t="n">
        <x:v>1290</x:v>
      </x:c>
      <x:c r="U42" s="10" t="n">
        <x:v>1290</x:v>
      </x:c>
      <x:c r="V42" s="10" t="n">
        <x:v>1290</x:v>
      </x:c>
      <x:c r="W42" s="10" t="n">
        <x:v>1290</x:v>
      </x:c>
      <x:c r="X42" s="10" t="n">
        <x:v>1290</x:v>
      </x:c>
      <x:c r="Y42" s="10" t="n">
        <x:v>1290</x:v>
      </x:c>
      <x:c r="Z42" s="10" t="n">
        <x:v>1290</x:v>
      </x:c>
      <x:c r="AA42" s="10" t="n">
        <x:v>1290</x:v>
      </x:c>
      <x:c r="AB42" s="10" t="n">
        <x:v>1290</x:v>
      </x:c>
      <x:c r="AC42" s="10" t="n">
        <x:v>1290</x:v>
      </x:c>
    </x:row>
    <x:row r="43" ht="23" customHeight="1">
      <x:c r="A43" s="2"/>
      <x:c r="B43" s="2"/>
      <x:c r="C43" s="2"/>
      <x:c r="D43" s="2"/>
      <x:c r="E43" s="2" t="str">
        <x:v>成長</x:v>
      </x:c>
      <x:c r="F43" s="10" t="n">
        <x:v>1490</x:v>
      </x:c>
      <x:c r="G43" s="10" t="n">
        <x:v>1490</x:v>
      </x:c>
      <x:c r="H43" s="10" t="n">
        <x:v>1490</x:v>
      </x:c>
      <x:c r="I43" s="10" t="n">
        <x:v>1490</x:v>
      </x:c>
      <x:c r="J43" s="10" t="n">
        <x:v>1490</x:v>
      </x:c>
      <x:c r="K43" s="10" t="n">
        <x:v>1490</x:v>
      </x:c>
      <x:c r="L43" s="10" t="n">
        <x:v>1490</x:v>
      </x:c>
      <x:c r="M43" s="10" t="n">
        <x:v>1490</x:v>
      </x:c>
      <x:c r="N43" s="10" t="n">
        <x:v>1490</x:v>
      </x:c>
      <x:c r="O43" s="10" t="n">
        <x:v>1490</x:v>
      </x:c>
      <x:c r="P43" s="10" t="n">
        <x:v>1490</x:v>
      </x:c>
      <x:c r="Q43" s="10" t="n">
        <x:v>1490</x:v>
      </x:c>
      <x:c r="R43" s="10" t="n">
        <x:v>1490</x:v>
      </x:c>
      <x:c r="S43" s="10" t="n">
        <x:v>1490</x:v>
      </x:c>
      <x:c r="T43" s="10" t="n">
        <x:v>1490</x:v>
      </x:c>
      <x:c r="U43" s="10" t="n">
        <x:v>1490</x:v>
      </x:c>
      <x:c r="V43" s="10" t="n">
        <x:v>1490</x:v>
      </x:c>
      <x:c r="W43" s="10" t="n">
        <x:v>1490</x:v>
      </x:c>
      <x:c r="X43" s="10" t="n">
        <x:v>1490</x:v>
      </x:c>
      <x:c r="Y43" s="10" t="n">
        <x:v>1490</x:v>
      </x:c>
      <x:c r="Z43" s="10" t="n">
        <x:v>1490</x:v>
      </x:c>
      <x:c r="AA43" s="10" t="n">
        <x:v>1490</x:v>
      </x:c>
      <x:c r="AB43" s="10" t="n">
        <x:v>1490</x:v>
      </x:c>
      <x:c r="AC43" s="10" t="n">
        <x:v>1490</x:v>
      </x:c>
    </x:row>
    <x:row r="44" ht="23" customHeight="1">
      <x:c r="A44" s="2"/>
      <x:c r="B44" s="2"/>
      <x:c r="C44" s="18" t="str">
        <x:v>新店導入費</x:v>
      </x:c>
      <x:c r="D44" s="18" t="str">
        <x:v>NT$</x:v>
      </x:c>
      <x:c r="E44" s="18" t="str">
        <x:v>目前採用</x:v>
      </x:c>
      <x:c r="F44" s="21" t="n">
        <x:f>IF(OR($F$4=1,$F$4=2,$F$4=3),IF(ISNUMBER(INDEX(F45:F47,$F$4)),INDEX(F45:F47,$F$4),NA()),NA())</x:f>
        <x:v>4900</x:v>
      </x:c>
      <x:c r="G44" s="21" t="n">
        <x:f>IF(OR($F$4=1,$F$4=2,$F$4=3),IF(ISNUMBER(INDEX(G45:G47,$F$4)),INDEX(G45:G47,$F$4),NA()),NA())</x:f>
        <x:v>4900</x:v>
      </x:c>
      <x:c r="H44" s="21" t="n">
        <x:f>IF(OR($F$4=1,$F$4=2,$F$4=3),IF(ISNUMBER(INDEX(H45:H47,$F$4)),INDEX(H45:H47,$F$4),NA()),NA())</x:f>
        <x:v>4900</x:v>
      </x:c>
      <x:c r="I44" s="21" t="n">
        <x:f>IF(OR($F$4=1,$F$4=2,$F$4=3),IF(ISNUMBER(INDEX(I45:I47,$F$4)),INDEX(I45:I47,$F$4),NA()),NA())</x:f>
        <x:v>4900</x:v>
      </x:c>
      <x:c r="J44" s="21" t="n">
        <x:f>IF(OR($F$4=1,$F$4=2,$F$4=3),IF(ISNUMBER(INDEX(J45:J47,$F$4)),INDEX(J45:J47,$F$4),NA()),NA())</x:f>
        <x:v>4900</x:v>
      </x:c>
      <x:c r="K44" s="21" t="n">
        <x:f>IF(OR($F$4=1,$F$4=2,$F$4=3),IF(ISNUMBER(INDEX(K45:K47,$F$4)),INDEX(K45:K47,$F$4),NA()),NA())</x:f>
        <x:v>4900</x:v>
      </x:c>
      <x:c r="L44" s="21" t="n">
        <x:f>IF(OR($F$4=1,$F$4=2,$F$4=3),IF(ISNUMBER(INDEX(L45:L47,$F$4)),INDEX(L45:L47,$F$4),NA()),NA())</x:f>
        <x:v>4900</x:v>
      </x:c>
      <x:c r="M44" s="21" t="n">
        <x:f>IF(OR($F$4=1,$F$4=2,$F$4=3),IF(ISNUMBER(INDEX(M45:M47,$F$4)),INDEX(M45:M47,$F$4),NA()),NA())</x:f>
        <x:v>4900</x:v>
      </x:c>
      <x:c r="N44" s="21" t="n">
        <x:f>IF(OR($F$4=1,$F$4=2,$F$4=3),IF(ISNUMBER(INDEX(N45:N47,$F$4)),INDEX(N45:N47,$F$4),NA()),NA())</x:f>
        <x:v>4900</x:v>
      </x:c>
      <x:c r="O44" s="21" t="n">
        <x:f>IF(OR($F$4=1,$F$4=2,$F$4=3),IF(ISNUMBER(INDEX(O45:O47,$F$4)),INDEX(O45:O47,$F$4),NA()),NA())</x:f>
        <x:v>4900</x:v>
      </x:c>
      <x:c r="P44" s="21" t="n">
        <x:f>IF(OR($F$4=1,$F$4=2,$F$4=3),IF(ISNUMBER(INDEX(P45:P47,$F$4)),INDEX(P45:P47,$F$4),NA()),NA())</x:f>
        <x:v>4900</x:v>
      </x:c>
      <x:c r="Q44" s="21" t="n">
        <x:f>IF(OR($F$4=1,$F$4=2,$F$4=3),IF(ISNUMBER(INDEX(Q45:Q47,$F$4)),INDEX(Q45:Q47,$F$4),NA()),NA())</x:f>
        <x:v>4900</x:v>
      </x:c>
      <x:c r="R44" s="21" t="n">
        <x:f>IF(OR($F$4=1,$F$4=2,$F$4=3),IF(ISNUMBER(INDEX(R45:R47,$F$4)),INDEX(R45:R47,$F$4),NA()),NA())</x:f>
        <x:v>4900</x:v>
      </x:c>
      <x:c r="S44" s="21" t="n">
        <x:f>IF(OR($F$4=1,$F$4=2,$F$4=3),IF(ISNUMBER(INDEX(S45:S47,$F$4)),INDEX(S45:S47,$F$4),NA()),NA())</x:f>
        <x:v>4900</x:v>
      </x:c>
      <x:c r="T44" s="21" t="n">
        <x:f>IF(OR($F$4=1,$F$4=2,$F$4=3),IF(ISNUMBER(INDEX(T45:T47,$F$4)),INDEX(T45:T47,$F$4),NA()),NA())</x:f>
        <x:v>4900</x:v>
      </x:c>
      <x:c r="U44" s="21" t="n">
        <x:f>IF(OR($F$4=1,$F$4=2,$F$4=3),IF(ISNUMBER(INDEX(U45:U47,$F$4)),INDEX(U45:U47,$F$4),NA()),NA())</x:f>
        <x:v>4900</x:v>
      </x:c>
      <x:c r="V44" s="21" t="n">
        <x:f>IF(OR($F$4=1,$F$4=2,$F$4=3),IF(ISNUMBER(INDEX(V45:V47,$F$4)),INDEX(V45:V47,$F$4),NA()),NA())</x:f>
        <x:v>4900</x:v>
      </x:c>
      <x:c r="W44" s="21" t="n">
        <x:f>IF(OR($F$4=1,$F$4=2,$F$4=3),IF(ISNUMBER(INDEX(W45:W47,$F$4)),INDEX(W45:W47,$F$4),NA()),NA())</x:f>
        <x:v>4900</x:v>
      </x:c>
      <x:c r="X44" s="21" t="n">
        <x:f>IF(OR($F$4=1,$F$4=2,$F$4=3),IF(ISNUMBER(INDEX(X45:X47,$F$4)),INDEX(X45:X47,$F$4),NA()),NA())</x:f>
        <x:v>4900</x:v>
      </x:c>
      <x:c r="Y44" s="21" t="n">
        <x:f>IF(OR($F$4=1,$F$4=2,$F$4=3),IF(ISNUMBER(INDEX(Y45:Y47,$F$4)),INDEX(Y45:Y47,$F$4),NA()),NA())</x:f>
        <x:v>4900</x:v>
      </x:c>
      <x:c r="Z44" s="21" t="n">
        <x:f>IF(OR($F$4=1,$F$4=2,$F$4=3),IF(ISNUMBER(INDEX(Z45:Z47,$F$4)),INDEX(Z45:Z47,$F$4),NA()),NA())</x:f>
        <x:v>4900</x:v>
      </x:c>
      <x:c r="AA44" s="21" t="n">
        <x:f>IF(OR($F$4=1,$F$4=2,$F$4=3),IF(ISNUMBER(INDEX(AA45:AA47,$F$4)),INDEX(AA45:AA47,$F$4),NA()),NA())</x:f>
        <x:v>4900</x:v>
      </x:c>
      <x:c r="AB44" s="21" t="n">
        <x:f>IF(OR($F$4=1,$F$4=2,$F$4=3),IF(ISNUMBER(INDEX(AB45:AB47,$F$4)),INDEX(AB45:AB47,$F$4),NA()),NA())</x:f>
        <x:v>4900</x:v>
      </x:c>
      <x:c r="AC44" s="21" t="n">
        <x:f>IF(OR($F$4=1,$F$4=2,$F$4=3),IF(ISNUMBER(INDEX(AC45:AC47,$F$4)),INDEX(AC45:AC47,$F$4),NA()),NA())</x:f>
        <x:v>4900</x:v>
      </x:c>
    </x:row>
    <x:row r="45" ht="23" customHeight="1">
      <x:c r="A45" s="2"/>
      <x:c r="B45" s="2"/>
      <x:c r="C45" s="2"/>
      <x:c r="D45" s="2"/>
      <x:c r="E45" s="2" t="str">
        <x:v>保守</x:v>
      </x:c>
      <x:c r="F45" s="10" t="n">
        <x:v>4900</x:v>
      </x:c>
      <x:c r="G45" s="10" t="n">
        <x:v>4900</x:v>
      </x:c>
      <x:c r="H45" s="10" t="n">
        <x:v>4900</x:v>
      </x:c>
      <x:c r="I45" s="10" t="n">
        <x:v>4900</x:v>
      </x:c>
      <x:c r="J45" s="10" t="n">
        <x:v>4900</x:v>
      </x:c>
      <x:c r="K45" s="10" t="n">
        <x:v>4900</x:v>
      </x:c>
      <x:c r="L45" s="10" t="n">
        <x:v>4900</x:v>
      </x:c>
      <x:c r="M45" s="10" t="n">
        <x:v>4900</x:v>
      </x:c>
      <x:c r="N45" s="10" t="n">
        <x:v>4900</x:v>
      </x:c>
      <x:c r="O45" s="10" t="n">
        <x:v>4900</x:v>
      </x:c>
      <x:c r="P45" s="10" t="n">
        <x:v>4900</x:v>
      </x:c>
      <x:c r="Q45" s="10" t="n">
        <x:v>4900</x:v>
      </x:c>
      <x:c r="R45" s="10" t="n">
        <x:v>4900</x:v>
      </x:c>
      <x:c r="S45" s="10" t="n">
        <x:v>4900</x:v>
      </x:c>
      <x:c r="T45" s="10" t="n">
        <x:v>4900</x:v>
      </x:c>
      <x:c r="U45" s="10" t="n">
        <x:v>4900</x:v>
      </x:c>
      <x:c r="V45" s="10" t="n">
        <x:v>4900</x:v>
      </x:c>
      <x:c r="W45" s="10" t="n">
        <x:v>4900</x:v>
      </x:c>
      <x:c r="X45" s="10" t="n">
        <x:v>4900</x:v>
      </x:c>
      <x:c r="Y45" s="10" t="n">
        <x:v>4900</x:v>
      </x:c>
      <x:c r="Z45" s="10" t="n">
        <x:v>4900</x:v>
      </x:c>
      <x:c r="AA45" s="10" t="n">
        <x:v>4900</x:v>
      </x:c>
      <x:c r="AB45" s="10" t="n">
        <x:v>4900</x:v>
      </x:c>
      <x:c r="AC45" s="10" t="n">
        <x:v>4900</x:v>
      </x:c>
    </x:row>
    <x:row r="46" ht="23" customHeight="1">
      <x:c r="A46" s="2"/>
      <x:c r="B46" s="2"/>
      <x:c r="C46" s="2"/>
      <x:c r="D46" s="2"/>
      <x:c r="E46" s="2" t="str">
        <x:v>基準</x:v>
      </x:c>
      <x:c r="F46" s="10" t="n">
        <x:v>4900</x:v>
      </x:c>
      <x:c r="G46" s="10" t="n">
        <x:v>4900</x:v>
      </x:c>
      <x:c r="H46" s="10" t="n">
        <x:v>4900</x:v>
      </x:c>
      <x:c r="I46" s="10" t="n">
        <x:v>4900</x:v>
      </x:c>
      <x:c r="J46" s="10" t="n">
        <x:v>4900</x:v>
      </x:c>
      <x:c r="K46" s="10" t="n">
        <x:v>4900</x:v>
      </x:c>
      <x:c r="L46" s="10" t="n">
        <x:v>4900</x:v>
      </x:c>
      <x:c r="M46" s="10" t="n">
        <x:v>4900</x:v>
      </x:c>
      <x:c r="N46" s="10" t="n">
        <x:v>4900</x:v>
      </x:c>
      <x:c r="O46" s="10" t="n">
        <x:v>4900</x:v>
      </x:c>
      <x:c r="P46" s="10" t="n">
        <x:v>4900</x:v>
      </x:c>
      <x:c r="Q46" s="10" t="n">
        <x:v>4900</x:v>
      </x:c>
      <x:c r="R46" s="10" t="n">
        <x:v>4900</x:v>
      </x:c>
      <x:c r="S46" s="10" t="n">
        <x:v>4900</x:v>
      </x:c>
      <x:c r="T46" s="10" t="n">
        <x:v>4900</x:v>
      </x:c>
      <x:c r="U46" s="10" t="n">
        <x:v>4900</x:v>
      </x:c>
      <x:c r="V46" s="10" t="n">
        <x:v>4900</x:v>
      </x:c>
      <x:c r="W46" s="10" t="n">
        <x:v>4900</x:v>
      </x:c>
      <x:c r="X46" s="10" t="n">
        <x:v>4900</x:v>
      </x:c>
      <x:c r="Y46" s="10" t="n">
        <x:v>4900</x:v>
      </x:c>
      <x:c r="Z46" s="10" t="n">
        <x:v>4900</x:v>
      </x:c>
      <x:c r="AA46" s="10" t="n">
        <x:v>4900</x:v>
      </x:c>
      <x:c r="AB46" s="10" t="n">
        <x:v>4900</x:v>
      </x:c>
      <x:c r="AC46" s="10" t="n">
        <x:v>4900</x:v>
      </x:c>
    </x:row>
    <x:row r="47" ht="23" customHeight="1">
      <x:c r="A47" s="2"/>
      <x:c r="B47" s="2"/>
      <x:c r="C47" s="2"/>
      <x:c r="D47" s="2"/>
      <x:c r="E47" s="2" t="str">
        <x:v>成長</x:v>
      </x:c>
      <x:c r="F47" s="10" t="n">
        <x:v>6900</x:v>
      </x:c>
      <x:c r="G47" s="10" t="n">
        <x:v>6900</x:v>
      </x:c>
      <x:c r="H47" s="10" t="n">
        <x:v>6900</x:v>
      </x:c>
      <x:c r="I47" s="10" t="n">
        <x:v>6900</x:v>
      </x:c>
      <x:c r="J47" s="10" t="n">
        <x:v>6900</x:v>
      </x:c>
      <x:c r="K47" s="10" t="n">
        <x:v>6900</x:v>
      </x:c>
      <x:c r="L47" s="10" t="n">
        <x:v>6900</x:v>
      </x:c>
      <x:c r="M47" s="10" t="n">
        <x:v>6900</x:v>
      </x:c>
      <x:c r="N47" s="10" t="n">
        <x:v>6900</x:v>
      </x:c>
      <x:c r="O47" s="10" t="n">
        <x:v>6900</x:v>
      </x:c>
      <x:c r="P47" s="10" t="n">
        <x:v>6900</x:v>
      </x:c>
      <x:c r="Q47" s="10" t="n">
        <x:v>6900</x:v>
      </x:c>
      <x:c r="R47" s="10" t="n">
        <x:v>6900</x:v>
      </x:c>
      <x:c r="S47" s="10" t="n">
        <x:v>6900</x:v>
      </x:c>
      <x:c r="T47" s="10" t="n">
        <x:v>6900</x:v>
      </x:c>
      <x:c r="U47" s="10" t="n">
        <x:v>6900</x:v>
      </x:c>
      <x:c r="V47" s="10" t="n">
        <x:v>6900</x:v>
      </x:c>
      <x:c r="W47" s="10" t="n">
        <x:v>6900</x:v>
      </x:c>
      <x:c r="X47" s="10" t="n">
        <x:v>6900</x:v>
      </x:c>
      <x:c r="Y47" s="10" t="n">
        <x:v>6900</x:v>
      </x:c>
      <x:c r="Z47" s="10" t="n">
        <x:v>6900</x:v>
      </x:c>
      <x:c r="AA47" s="10" t="n">
        <x:v>6900</x:v>
      </x:c>
      <x:c r="AB47" s="10" t="n">
        <x:v>6900</x:v>
      </x:c>
      <x:c r="AC47" s="10" t="n">
        <x:v>6900</x:v>
      </x:c>
    </x:row>
    <x:row r="48" ht="23" customHeight="1">
      <x:c r="A48" s="2"/>
      <x:c r="B48" s="2"/>
      <x:c r="C48" s="18" t="str">
        <x:v>每月獲客現金預算</x:v>
      </x:c>
      <x:c r="D48" s="18" t="str">
        <x:v>NT$</x:v>
      </x:c>
      <x:c r="E48" s="18" t="str">
        <x:v>目前採用</x:v>
      </x:c>
      <x:c r="F48" s="21" t="n">
        <x:f>IF(OR($F$4=1,$F$4=2,$F$4=3),IF(ISNUMBER(INDEX(F49:F51,$F$4)),INDEX(F49:F51,$F$4),NA()),NA())</x:f>
        <x:v>1500</x:v>
      </x:c>
      <x:c r="G48" s="21" t="n">
        <x:f>IF(OR($F$4=1,$F$4=2,$F$4=3),IF(ISNUMBER(INDEX(G49:G51,$F$4)),INDEX(G49:G51,$F$4),NA()),NA())</x:f>
        <x:v>1500</x:v>
      </x:c>
      <x:c r="H48" s="21" t="n">
        <x:f>IF(OR($F$4=1,$F$4=2,$F$4=3),IF(ISNUMBER(INDEX(H49:H51,$F$4)),INDEX(H49:H51,$F$4),NA()),NA())</x:f>
        <x:v>1500</x:v>
      </x:c>
      <x:c r="I48" s="21" t="n">
        <x:f>IF(OR($F$4=1,$F$4=2,$F$4=3),IF(ISNUMBER(INDEX(I49:I51,$F$4)),INDEX(I49:I51,$F$4),NA()),NA())</x:f>
        <x:v>1500</x:v>
      </x:c>
      <x:c r="J48" s="21" t="n">
        <x:f>IF(OR($F$4=1,$F$4=2,$F$4=3),IF(ISNUMBER(INDEX(J49:J51,$F$4)),INDEX(J49:J51,$F$4),NA()),NA())</x:f>
        <x:v>1500</x:v>
      </x:c>
      <x:c r="K48" s="21" t="n">
        <x:f>IF(OR($F$4=1,$F$4=2,$F$4=3),IF(ISNUMBER(INDEX(K49:K51,$F$4)),INDEX(K49:K51,$F$4),NA()),NA())</x:f>
        <x:v>1500</x:v>
      </x:c>
      <x:c r="L48" s="21" t="n">
        <x:f>IF(OR($F$4=1,$F$4=2,$F$4=3),IF(ISNUMBER(INDEX(L49:L51,$F$4)),INDEX(L49:L51,$F$4),NA()),NA())</x:f>
        <x:v>1500</x:v>
      </x:c>
      <x:c r="M48" s="21" t="n">
        <x:f>IF(OR($F$4=1,$F$4=2,$F$4=3),IF(ISNUMBER(INDEX(M49:M51,$F$4)),INDEX(M49:M51,$F$4),NA()),NA())</x:f>
        <x:v>1500</x:v>
      </x:c>
      <x:c r="N48" s="21" t="n">
        <x:f>IF(OR($F$4=1,$F$4=2,$F$4=3),IF(ISNUMBER(INDEX(N49:N51,$F$4)),INDEX(N49:N51,$F$4),NA()),NA())</x:f>
        <x:v>1500</x:v>
      </x:c>
      <x:c r="O48" s="21" t="n">
        <x:f>IF(OR($F$4=1,$F$4=2,$F$4=3),IF(ISNUMBER(INDEX(O49:O51,$F$4)),INDEX(O49:O51,$F$4),NA()),NA())</x:f>
        <x:v>1500</x:v>
      </x:c>
      <x:c r="P48" s="21" t="n">
        <x:f>IF(OR($F$4=1,$F$4=2,$F$4=3),IF(ISNUMBER(INDEX(P49:P51,$F$4)),INDEX(P49:P51,$F$4),NA()),NA())</x:f>
        <x:v>1500</x:v>
      </x:c>
      <x:c r="Q48" s="21" t="n">
        <x:f>IF(OR($F$4=1,$F$4=2,$F$4=3),IF(ISNUMBER(INDEX(Q49:Q51,$F$4)),INDEX(Q49:Q51,$F$4),NA()),NA())</x:f>
        <x:v>1500</x:v>
      </x:c>
      <x:c r="R48" s="21" t="n">
        <x:f>IF(OR($F$4=1,$F$4=2,$F$4=3),IF(ISNUMBER(INDEX(R49:R51,$F$4)),INDEX(R49:R51,$F$4),NA()),NA())</x:f>
        <x:v>1500</x:v>
      </x:c>
      <x:c r="S48" s="21" t="n">
        <x:f>IF(OR($F$4=1,$F$4=2,$F$4=3),IF(ISNUMBER(INDEX(S49:S51,$F$4)),INDEX(S49:S51,$F$4),NA()),NA())</x:f>
        <x:v>1500</x:v>
      </x:c>
      <x:c r="T48" s="21" t="n">
        <x:f>IF(OR($F$4=1,$F$4=2,$F$4=3),IF(ISNUMBER(INDEX(T49:T51,$F$4)),INDEX(T49:T51,$F$4),NA()),NA())</x:f>
        <x:v>1500</x:v>
      </x:c>
      <x:c r="U48" s="21" t="n">
        <x:f>IF(OR($F$4=1,$F$4=2,$F$4=3),IF(ISNUMBER(INDEX(U49:U51,$F$4)),INDEX(U49:U51,$F$4),NA()),NA())</x:f>
        <x:v>1500</x:v>
      </x:c>
      <x:c r="V48" s="21" t="n">
        <x:f>IF(OR($F$4=1,$F$4=2,$F$4=3),IF(ISNUMBER(INDEX(V49:V51,$F$4)),INDEX(V49:V51,$F$4),NA()),NA())</x:f>
        <x:v>1500</x:v>
      </x:c>
      <x:c r="W48" s="21" t="n">
        <x:f>IF(OR($F$4=1,$F$4=2,$F$4=3),IF(ISNUMBER(INDEX(W49:W51,$F$4)),INDEX(W49:W51,$F$4),NA()),NA())</x:f>
        <x:v>1500</x:v>
      </x:c>
      <x:c r="X48" s="21" t="n">
        <x:f>IF(OR($F$4=1,$F$4=2,$F$4=3),IF(ISNUMBER(INDEX(X49:X51,$F$4)),INDEX(X49:X51,$F$4),NA()),NA())</x:f>
        <x:v>1500</x:v>
      </x:c>
      <x:c r="Y48" s="21" t="n">
        <x:f>IF(OR($F$4=1,$F$4=2,$F$4=3),IF(ISNUMBER(INDEX(Y49:Y51,$F$4)),INDEX(Y49:Y51,$F$4),NA()),NA())</x:f>
        <x:v>1500</x:v>
      </x:c>
      <x:c r="Z48" s="21" t="n">
        <x:f>IF(OR($F$4=1,$F$4=2,$F$4=3),IF(ISNUMBER(INDEX(Z49:Z51,$F$4)),INDEX(Z49:Z51,$F$4),NA()),NA())</x:f>
        <x:v>1500</x:v>
      </x:c>
      <x:c r="AA48" s="21" t="n">
        <x:f>IF(OR($F$4=1,$F$4=2,$F$4=3),IF(ISNUMBER(INDEX(AA49:AA51,$F$4)),INDEX(AA49:AA51,$F$4),NA()),NA())</x:f>
        <x:v>1500</x:v>
      </x:c>
      <x:c r="AB48" s="21" t="n">
        <x:f>IF(OR($F$4=1,$F$4=2,$F$4=3),IF(ISNUMBER(INDEX(AB49:AB51,$F$4)),INDEX(AB49:AB51,$F$4),NA()),NA())</x:f>
        <x:v>1500</x:v>
      </x:c>
      <x:c r="AC48" s="21" t="n">
        <x:f>IF(OR($F$4=1,$F$4=2,$F$4=3),IF(ISNUMBER(INDEX(AC49:AC51,$F$4)),INDEX(AC49:AC51,$F$4),NA()),NA())</x:f>
        <x:v>1500</x:v>
      </x:c>
    </x:row>
    <x:row r="49" ht="23" customHeight="1">
      <x:c r="A49" s="2"/>
      <x:c r="B49" s="2"/>
      <x:c r="C49" s="2"/>
      <x:c r="D49" s="2"/>
      <x:c r="E49" s="2" t="str">
        <x:v>保守</x:v>
      </x:c>
      <x:c r="F49" s="10" t="n">
        <x:v>1000</x:v>
      </x:c>
      <x:c r="G49" s="10" t="n">
        <x:v>1000</x:v>
      </x:c>
      <x:c r="H49" s="10" t="n">
        <x:v>1000</x:v>
      </x:c>
      <x:c r="I49" s="10" t="n">
        <x:v>1000</x:v>
      </x:c>
      <x:c r="J49" s="10" t="n">
        <x:v>1000</x:v>
      </x:c>
      <x:c r="K49" s="10" t="n">
        <x:v>1000</x:v>
      </x:c>
      <x:c r="L49" s="10" t="n">
        <x:v>1000</x:v>
      </x:c>
      <x:c r="M49" s="10" t="n">
        <x:v>1000</x:v>
      </x:c>
      <x:c r="N49" s="10" t="n">
        <x:v>1000</x:v>
      </x:c>
      <x:c r="O49" s="10" t="n">
        <x:v>1000</x:v>
      </x:c>
      <x:c r="P49" s="10" t="n">
        <x:v>1000</x:v>
      </x:c>
      <x:c r="Q49" s="10" t="n">
        <x:v>1000</x:v>
      </x:c>
      <x:c r="R49" s="10" t="n">
        <x:v>1000</x:v>
      </x:c>
      <x:c r="S49" s="10" t="n">
        <x:v>1000</x:v>
      </x:c>
      <x:c r="T49" s="10" t="n">
        <x:v>1000</x:v>
      </x:c>
      <x:c r="U49" s="10" t="n">
        <x:v>1000</x:v>
      </x:c>
      <x:c r="V49" s="10" t="n">
        <x:v>1000</x:v>
      </x:c>
      <x:c r="W49" s="10" t="n">
        <x:v>1000</x:v>
      </x:c>
      <x:c r="X49" s="10" t="n">
        <x:v>1000</x:v>
      </x:c>
      <x:c r="Y49" s="10" t="n">
        <x:v>1000</x:v>
      </x:c>
      <x:c r="Z49" s="10" t="n">
        <x:v>1000</x:v>
      </x:c>
      <x:c r="AA49" s="10" t="n">
        <x:v>1000</x:v>
      </x:c>
      <x:c r="AB49" s="10" t="n">
        <x:v>1000</x:v>
      </x:c>
      <x:c r="AC49" s="10" t="n">
        <x:v>1000</x:v>
      </x:c>
    </x:row>
    <x:row r="50" ht="23" customHeight="1">
      <x:c r="A50" s="2"/>
      <x:c r="B50" s="2"/>
      <x:c r="C50" s="2"/>
      <x:c r="D50" s="2"/>
      <x:c r="E50" s="2" t="str">
        <x:v>基準</x:v>
      </x:c>
      <x:c r="F50" s="10" t="n">
        <x:v>1500</x:v>
      </x:c>
      <x:c r="G50" s="10" t="n">
        <x:v>1500</x:v>
      </x:c>
      <x:c r="H50" s="10" t="n">
        <x:v>1500</x:v>
      </x:c>
      <x:c r="I50" s="10" t="n">
        <x:v>1500</x:v>
      </x:c>
      <x:c r="J50" s="10" t="n">
        <x:v>1500</x:v>
      </x:c>
      <x:c r="K50" s="10" t="n">
        <x:v>1500</x:v>
      </x:c>
      <x:c r="L50" s="10" t="n">
        <x:v>1500</x:v>
      </x:c>
      <x:c r="M50" s="10" t="n">
        <x:v>1500</x:v>
      </x:c>
      <x:c r="N50" s="10" t="n">
        <x:v>1500</x:v>
      </x:c>
      <x:c r="O50" s="10" t="n">
        <x:v>1500</x:v>
      </x:c>
      <x:c r="P50" s="10" t="n">
        <x:v>1500</x:v>
      </x:c>
      <x:c r="Q50" s="10" t="n">
        <x:v>1500</x:v>
      </x:c>
      <x:c r="R50" s="10" t="n">
        <x:v>1500</x:v>
      </x:c>
      <x:c r="S50" s="10" t="n">
        <x:v>1500</x:v>
      </x:c>
      <x:c r="T50" s="10" t="n">
        <x:v>1500</x:v>
      </x:c>
      <x:c r="U50" s="10" t="n">
        <x:v>1500</x:v>
      </x:c>
      <x:c r="V50" s="10" t="n">
        <x:v>1500</x:v>
      </x:c>
      <x:c r="W50" s="10" t="n">
        <x:v>1500</x:v>
      </x:c>
      <x:c r="X50" s="10" t="n">
        <x:v>1500</x:v>
      </x:c>
      <x:c r="Y50" s="10" t="n">
        <x:v>1500</x:v>
      </x:c>
      <x:c r="Z50" s="10" t="n">
        <x:v>1500</x:v>
      </x:c>
      <x:c r="AA50" s="10" t="n">
        <x:v>1500</x:v>
      </x:c>
      <x:c r="AB50" s="10" t="n">
        <x:v>1500</x:v>
      </x:c>
      <x:c r="AC50" s="10" t="n">
        <x:v>1500</x:v>
      </x:c>
    </x:row>
    <x:row r="51" ht="23" customHeight="1">
      <x:c r="A51" s="2"/>
      <x:c r="B51" s="2"/>
      <x:c r="C51" s="2"/>
      <x:c r="D51" s="2"/>
      <x:c r="E51" s="2" t="str">
        <x:v>成長</x:v>
      </x:c>
      <x:c r="F51" s="10" t="n">
        <x:v>2500</x:v>
      </x:c>
      <x:c r="G51" s="10" t="n">
        <x:v>2500</x:v>
      </x:c>
      <x:c r="H51" s="10" t="n">
        <x:v>2500</x:v>
      </x:c>
      <x:c r="I51" s="10" t="n">
        <x:v>2500</x:v>
      </x:c>
      <x:c r="J51" s="10" t="n">
        <x:v>2500</x:v>
      </x:c>
      <x:c r="K51" s="10" t="n">
        <x:v>2500</x:v>
      </x:c>
      <x:c r="L51" s="10" t="n">
        <x:v>2500</x:v>
      </x:c>
      <x:c r="M51" s="10" t="n">
        <x:v>2500</x:v>
      </x:c>
      <x:c r="N51" s="10" t="n">
        <x:v>2500</x:v>
      </x:c>
      <x:c r="O51" s="10" t="n">
        <x:v>2500</x:v>
      </x:c>
      <x:c r="P51" s="10" t="n">
        <x:v>2500</x:v>
      </x:c>
      <x:c r="Q51" s="10" t="n">
        <x:v>2500</x:v>
      </x:c>
      <x:c r="R51" s="10" t="n">
        <x:v>2500</x:v>
      </x:c>
      <x:c r="S51" s="10" t="n">
        <x:v>2500</x:v>
      </x:c>
      <x:c r="T51" s="10" t="n">
        <x:v>2500</x:v>
      </x:c>
      <x:c r="U51" s="10" t="n">
        <x:v>2500</x:v>
      </x:c>
      <x:c r="V51" s="10" t="n">
        <x:v>2500</x:v>
      </x:c>
      <x:c r="W51" s="10" t="n">
        <x:v>2500</x:v>
      </x:c>
      <x:c r="X51" s="10" t="n">
        <x:v>2500</x:v>
      </x:c>
      <x:c r="Y51" s="10" t="n">
        <x:v>2500</x:v>
      </x:c>
      <x:c r="Z51" s="10" t="n">
        <x:v>2500</x:v>
      </x:c>
      <x:c r="AA51" s="10" t="n">
        <x:v>2500</x:v>
      </x:c>
      <x:c r="AB51" s="10" t="n">
        <x:v>2500</x:v>
      </x:c>
      <x:c r="AC51" s="10" t="n">
        <x:v>2500</x:v>
      </x:c>
    </x:row>
    <x:row r="52" ht="23" customHeight="1">
      <x:c r="A52" s="2"/>
      <x:c r="B52" s="2"/>
      <x:c r="C52" s="18" t="str">
        <x:v>每次有效觸達工時</x:v>
      </x:c>
      <x:c r="D52" s="18" t="str">
        <x:v>小時</x:v>
      </x:c>
      <x:c r="E52" s="18" t="str">
        <x:v>目前採用</x:v>
      </x:c>
      <x:c r="F52" s="23" t="n">
        <x:f>IF(OR($F$4=1,$F$4=2,$F$4=3),IF(ISNUMBER(INDEX(F53:F55,$F$4)),INDEX(F53:F55,$F$4),NA()),NA())</x:f>
        <x:v>0.5</x:v>
      </x:c>
      <x:c r="G52" s="23" t="n">
        <x:f>IF(OR($F$4=1,$F$4=2,$F$4=3),IF(ISNUMBER(INDEX(G53:G55,$F$4)),INDEX(G53:G55,$F$4),NA()),NA())</x:f>
        <x:v>0.5</x:v>
      </x:c>
      <x:c r="H52" s="23" t="n">
        <x:f>IF(OR($F$4=1,$F$4=2,$F$4=3),IF(ISNUMBER(INDEX(H53:H55,$F$4)),INDEX(H53:H55,$F$4),NA()),NA())</x:f>
        <x:v>0.5</x:v>
      </x:c>
      <x:c r="I52" s="23" t="n">
        <x:f>IF(OR($F$4=1,$F$4=2,$F$4=3),IF(ISNUMBER(INDEX(I53:I55,$F$4)),INDEX(I53:I55,$F$4),NA()),NA())</x:f>
        <x:v>0.5</x:v>
      </x:c>
      <x:c r="J52" s="23" t="n">
        <x:f>IF(OR($F$4=1,$F$4=2,$F$4=3),IF(ISNUMBER(INDEX(J53:J55,$F$4)),INDEX(J53:J55,$F$4),NA()),NA())</x:f>
        <x:v>0.5</x:v>
      </x:c>
      <x:c r="K52" s="23" t="n">
        <x:f>IF(OR($F$4=1,$F$4=2,$F$4=3),IF(ISNUMBER(INDEX(K53:K55,$F$4)),INDEX(K53:K55,$F$4),NA()),NA())</x:f>
        <x:v>0.5</x:v>
      </x:c>
      <x:c r="L52" s="23" t="n">
        <x:f>IF(OR($F$4=1,$F$4=2,$F$4=3),IF(ISNUMBER(INDEX(L53:L55,$F$4)),INDEX(L53:L55,$F$4),NA()),NA())</x:f>
        <x:v>0.5</x:v>
      </x:c>
      <x:c r="M52" s="23" t="n">
        <x:f>IF(OR($F$4=1,$F$4=2,$F$4=3),IF(ISNUMBER(INDEX(M53:M55,$F$4)),INDEX(M53:M55,$F$4),NA()),NA())</x:f>
        <x:v>0.5</x:v>
      </x:c>
      <x:c r="N52" s="23" t="n">
        <x:f>IF(OR($F$4=1,$F$4=2,$F$4=3),IF(ISNUMBER(INDEX(N53:N55,$F$4)),INDEX(N53:N55,$F$4),NA()),NA())</x:f>
        <x:v>0.5</x:v>
      </x:c>
      <x:c r="O52" s="23" t="n">
        <x:f>IF(OR($F$4=1,$F$4=2,$F$4=3),IF(ISNUMBER(INDEX(O53:O55,$F$4)),INDEX(O53:O55,$F$4),NA()),NA())</x:f>
        <x:v>0.5</x:v>
      </x:c>
      <x:c r="P52" s="23" t="n">
        <x:f>IF(OR($F$4=1,$F$4=2,$F$4=3),IF(ISNUMBER(INDEX(P53:P55,$F$4)),INDEX(P53:P55,$F$4),NA()),NA())</x:f>
        <x:v>0.5</x:v>
      </x:c>
      <x:c r="Q52" s="23" t="n">
        <x:f>IF(OR($F$4=1,$F$4=2,$F$4=3),IF(ISNUMBER(INDEX(Q53:Q55,$F$4)),INDEX(Q53:Q55,$F$4),NA()),NA())</x:f>
        <x:v>0.5</x:v>
      </x:c>
      <x:c r="R52" s="23" t="n">
        <x:f>IF(OR($F$4=1,$F$4=2,$F$4=3),IF(ISNUMBER(INDEX(R53:R55,$F$4)),INDEX(R53:R55,$F$4),NA()),NA())</x:f>
        <x:v>0.5</x:v>
      </x:c>
      <x:c r="S52" s="23" t="n">
        <x:f>IF(OR($F$4=1,$F$4=2,$F$4=3),IF(ISNUMBER(INDEX(S53:S55,$F$4)),INDEX(S53:S55,$F$4),NA()),NA())</x:f>
        <x:v>0.5</x:v>
      </x:c>
      <x:c r="T52" s="23" t="n">
        <x:f>IF(OR($F$4=1,$F$4=2,$F$4=3),IF(ISNUMBER(INDEX(T53:T55,$F$4)),INDEX(T53:T55,$F$4),NA()),NA())</x:f>
        <x:v>0.5</x:v>
      </x:c>
      <x:c r="U52" s="23" t="n">
        <x:f>IF(OR($F$4=1,$F$4=2,$F$4=3),IF(ISNUMBER(INDEX(U53:U55,$F$4)),INDEX(U53:U55,$F$4),NA()),NA())</x:f>
        <x:v>0.5</x:v>
      </x:c>
      <x:c r="V52" s="23" t="n">
        <x:f>IF(OR($F$4=1,$F$4=2,$F$4=3),IF(ISNUMBER(INDEX(V53:V55,$F$4)),INDEX(V53:V55,$F$4),NA()),NA())</x:f>
        <x:v>0.5</x:v>
      </x:c>
      <x:c r="W52" s="23" t="n">
        <x:f>IF(OR($F$4=1,$F$4=2,$F$4=3),IF(ISNUMBER(INDEX(W53:W55,$F$4)),INDEX(W53:W55,$F$4),NA()),NA())</x:f>
        <x:v>0.5</x:v>
      </x:c>
      <x:c r="X52" s="23" t="n">
        <x:f>IF(OR($F$4=1,$F$4=2,$F$4=3),IF(ISNUMBER(INDEX(X53:X55,$F$4)),INDEX(X53:X55,$F$4),NA()),NA())</x:f>
        <x:v>0.5</x:v>
      </x:c>
      <x:c r="Y52" s="23" t="n">
        <x:f>IF(OR($F$4=1,$F$4=2,$F$4=3),IF(ISNUMBER(INDEX(Y53:Y55,$F$4)),INDEX(Y53:Y55,$F$4),NA()),NA())</x:f>
        <x:v>0.5</x:v>
      </x:c>
      <x:c r="Z52" s="23" t="n">
        <x:f>IF(OR($F$4=1,$F$4=2,$F$4=3),IF(ISNUMBER(INDEX(Z53:Z55,$F$4)),INDEX(Z53:Z55,$F$4),NA()),NA())</x:f>
        <x:v>0.5</x:v>
      </x:c>
      <x:c r="AA52" s="23" t="n">
        <x:f>IF(OR($F$4=1,$F$4=2,$F$4=3),IF(ISNUMBER(INDEX(AA53:AA55,$F$4)),INDEX(AA53:AA55,$F$4),NA()),NA())</x:f>
        <x:v>0.5</x:v>
      </x:c>
      <x:c r="AB52" s="23" t="n">
        <x:f>IF(OR($F$4=1,$F$4=2,$F$4=3),IF(ISNUMBER(INDEX(AB53:AB55,$F$4)),INDEX(AB53:AB55,$F$4),NA()),NA())</x:f>
        <x:v>0.5</x:v>
      </x:c>
      <x:c r="AC52" s="23" t="n">
        <x:f>IF(OR($F$4=1,$F$4=2,$F$4=3),IF(ISNUMBER(INDEX(AC53:AC55,$F$4)),INDEX(AC53:AC55,$F$4),NA()),NA())</x:f>
        <x:v>0.5</x:v>
      </x:c>
    </x:row>
    <x:row r="53" ht="23" customHeight="1">
      <x:c r="A53" s="2"/>
      <x:c r="B53" s="2"/>
      <x:c r="C53" s="2"/>
      <x:c r="D53" s="2"/>
      <x:c r="E53" s="2" t="str">
        <x:v>保守</x:v>
      </x:c>
      <x:c r="F53" s="22" t="n">
        <x:v>0.5</x:v>
      </x:c>
      <x:c r="G53" s="22" t="n">
        <x:v>0.5</x:v>
      </x:c>
      <x:c r="H53" s="22" t="n">
        <x:v>0.5</x:v>
      </x:c>
      <x:c r="I53" s="22" t="n">
        <x:v>0.5</x:v>
      </x:c>
      <x:c r="J53" s="22" t="n">
        <x:v>0.5</x:v>
      </x:c>
      <x:c r="K53" s="22" t="n">
        <x:v>0.5</x:v>
      </x:c>
      <x:c r="L53" s="22" t="n">
        <x:v>0.5</x:v>
      </x:c>
      <x:c r="M53" s="22" t="n">
        <x:v>0.5</x:v>
      </x:c>
      <x:c r="N53" s="22" t="n">
        <x:v>0.5</x:v>
      </x:c>
      <x:c r="O53" s="22" t="n">
        <x:v>0.5</x:v>
      </x:c>
      <x:c r="P53" s="22" t="n">
        <x:v>0.5</x:v>
      </x:c>
      <x:c r="Q53" s="22" t="n">
        <x:v>0.5</x:v>
      </x:c>
      <x:c r="R53" s="22" t="n">
        <x:v>0.5</x:v>
      </x:c>
      <x:c r="S53" s="22" t="n">
        <x:v>0.5</x:v>
      </x:c>
      <x:c r="T53" s="22" t="n">
        <x:v>0.5</x:v>
      </x:c>
      <x:c r="U53" s="22" t="n">
        <x:v>0.5</x:v>
      </x:c>
      <x:c r="V53" s="22" t="n">
        <x:v>0.5</x:v>
      </x:c>
      <x:c r="W53" s="22" t="n">
        <x:v>0.5</x:v>
      </x:c>
      <x:c r="X53" s="22" t="n">
        <x:v>0.5</x:v>
      </x:c>
      <x:c r="Y53" s="22" t="n">
        <x:v>0.5</x:v>
      </x:c>
      <x:c r="Z53" s="22" t="n">
        <x:v>0.5</x:v>
      </x:c>
      <x:c r="AA53" s="22" t="n">
        <x:v>0.5</x:v>
      </x:c>
      <x:c r="AB53" s="22" t="n">
        <x:v>0.5</x:v>
      </x:c>
      <x:c r="AC53" s="22" t="n">
        <x:v>0.5</x:v>
      </x:c>
    </x:row>
    <x:row r="54" ht="23" customHeight="1">
      <x:c r="A54" s="2"/>
      <x:c r="B54" s="2"/>
      <x:c r="C54" s="2"/>
      <x:c r="D54" s="2"/>
      <x:c r="E54" s="2" t="str">
        <x:v>基準</x:v>
      </x:c>
      <x:c r="F54" s="22" t="n">
        <x:v>0.5</x:v>
      </x:c>
      <x:c r="G54" s="22" t="n">
        <x:v>0.5</x:v>
      </x:c>
      <x:c r="H54" s="22" t="n">
        <x:v>0.5</x:v>
      </x:c>
      <x:c r="I54" s="22" t="n">
        <x:v>0.5</x:v>
      </x:c>
      <x:c r="J54" s="22" t="n">
        <x:v>0.5</x:v>
      </x:c>
      <x:c r="K54" s="22" t="n">
        <x:v>0.5</x:v>
      </x:c>
      <x:c r="L54" s="22" t="n">
        <x:v>0.5</x:v>
      </x:c>
      <x:c r="M54" s="22" t="n">
        <x:v>0.5</x:v>
      </x:c>
      <x:c r="N54" s="22" t="n">
        <x:v>0.5</x:v>
      </x:c>
      <x:c r="O54" s="22" t="n">
        <x:v>0.5</x:v>
      </x:c>
      <x:c r="P54" s="22" t="n">
        <x:v>0.5</x:v>
      </x:c>
      <x:c r="Q54" s="22" t="n">
        <x:v>0.5</x:v>
      </x:c>
      <x:c r="R54" s="22" t="n">
        <x:v>0.5</x:v>
      </x:c>
      <x:c r="S54" s="22" t="n">
        <x:v>0.5</x:v>
      </x:c>
      <x:c r="T54" s="22" t="n">
        <x:v>0.5</x:v>
      </x:c>
      <x:c r="U54" s="22" t="n">
        <x:v>0.5</x:v>
      </x:c>
      <x:c r="V54" s="22" t="n">
        <x:v>0.5</x:v>
      </x:c>
      <x:c r="W54" s="22" t="n">
        <x:v>0.5</x:v>
      </x:c>
      <x:c r="X54" s="22" t="n">
        <x:v>0.5</x:v>
      </x:c>
      <x:c r="Y54" s="22" t="n">
        <x:v>0.5</x:v>
      </x:c>
      <x:c r="Z54" s="22" t="n">
        <x:v>0.5</x:v>
      </x:c>
      <x:c r="AA54" s="22" t="n">
        <x:v>0.5</x:v>
      </x:c>
      <x:c r="AB54" s="22" t="n">
        <x:v>0.5</x:v>
      </x:c>
      <x:c r="AC54" s="22" t="n">
        <x:v>0.5</x:v>
      </x:c>
    </x:row>
    <x:row r="55" ht="23" customHeight="1">
      <x:c r="A55" s="2"/>
      <x:c r="B55" s="2"/>
      <x:c r="C55" s="2"/>
      <x:c r="D55" s="2"/>
      <x:c r="E55" s="2" t="str">
        <x:v>成長</x:v>
      </x:c>
      <x:c r="F55" s="22" t="n">
        <x:v>0.25</x:v>
      </x:c>
      <x:c r="G55" s="22" t="n">
        <x:v>0.25</x:v>
      </x:c>
      <x:c r="H55" s="22" t="n">
        <x:v>0.25</x:v>
      </x:c>
      <x:c r="I55" s="22" t="n">
        <x:v>0.25</x:v>
      </x:c>
      <x:c r="J55" s="22" t="n">
        <x:v>0.25</x:v>
      </x:c>
      <x:c r="K55" s="22" t="n">
        <x:v>0.25</x:v>
      </x:c>
      <x:c r="L55" s="22" t="n">
        <x:v>0.25</x:v>
      </x:c>
      <x:c r="M55" s="22" t="n">
        <x:v>0.25</x:v>
      </x:c>
      <x:c r="N55" s="22" t="n">
        <x:v>0.25</x:v>
      </x:c>
      <x:c r="O55" s="22" t="n">
        <x:v>0.25</x:v>
      </x:c>
      <x:c r="P55" s="22" t="n">
        <x:v>0.25</x:v>
      </x:c>
      <x:c r="Q55" s="22" t="n">
        <x:v>0.25</x:v>
      </x:c>
      <x:c r="R55" s="22" t="n">
        <x:v>0.25</x:v>
      </x:c>
      <x:c r="S55" s="22" t="n">
        <x:v>0.25</x:v>
      </x:c>
      <x:c r="T55" s="22" t="n">
        <x:v>0.25</x:v>
      </x:c>
      <x:c r="U55" s="22" t="n">
        <x:v>0.25</x:v>
      </x:c>
      <x:c r="V55" s="22" t="n">
        <x:v>0.25</x:v>
      </x:c>
      <x:c r="W55" s="22" t="n">
        <x:v>0.25</x:v>
      </x:c>
      <x:c r="X55" s="22" t="n">
        <x:v>0.25</x:v>
      </x:c>
      <x:c r="Y55" s="22" t="n">
        <x:v>0.25</x:v>
      </x:c>
      <x:c r="Z55" s="22" t="n">
        <x:v>0.25</x:v>
      </x:c>
      <x:c r="AA55" s="22" t="n">
        <x:v>0.25</x:v>
      </x:c>
      <x:c r="AB55" s="22" t="n">
        <x:v>0.25</x:v>
      </x:c>
      <x:c r="AC55" s="22" t="n">
        <x:v>0.25</x:v>
      </x:c>
    </x:row>
    <x:row r="56" ht="23" customHeight="1">
      <x:c r="A56" s="2"/>
      <x:c r="B56" s="2"/>
      <x:c r="C56" s="18" t="str">
        <x:v>每場展示工時</x:v>
      </x:c>
      <x:c r="D56" s="18" t="str">
        <x:v>小時</x:v>
      </x:c>
      <x:c r="E56" s="18" t="str">
        <x:v>目前採用</x:v>
      </x:c>
      <x:c r="F56" s="23" t="n">
        <x:f>IF(OR($F$4=1,$F$4=2,$F$4=3),IF(ISNUMBER(INDEX(F57:F59,$F$4)),INDEX(F57:F59,$F$4),NA()),NA())</x:f>
        <x:v>1</x:v>
      </x:c>
      <x:c r="G56" s="23" t="n">
        <x:f>IF(OR($F$4=1,$F$4=2,$F$4=3),IF(ISNUMBER(INDEX(G57:G59,$F$4)),INDEX(G57:G59,$F$4),NA()),NA())</x:f>
        <x:v>1</x:v>
      </x:c>
      <x:c r="H56" s="23" t="n">
        <x:f>IF(OR($F$4=1,$F$4=2,$F$4=3),IF(ISNUMBER(INDEX(H57:H59,$F$4)),INDEX(H57:H59,$F$4),NA()),NA())</x:f>
        <x:v>1</x:v>
      </x:c>
      <x:c r="I56" s="23" t="n">
        <x:f>IF(OR($F$4=1,$F$4=2,$F$4=3),IF(ISNUMBER(INDEX(I57:I59,$F$4)),INDEX(I57:I59,$F$4),NA()),NA())</x:f>
        <x:v>1</x:v>
      </x:c>
      <x:c r="J56" s="23" t="n">
        <x:f>IF(OR($F$4=1,$F$4=2,$F$4=3),IF(ISNUMBER(INDEX(J57:J59,$F$4)),INDEX(J57:J59,$F$4),NA()),NA())</x:f>
        <x:v>1</x:v>
      </x:c>
      <x:c r="K56" s="23" t="n">
        <x:f>IF(OR($F$4=1,$F$4=2,$F$4=3),IF(ISNUMBER(INDEX(K57:K59,$F$4)),INDEX(K57:K59,$F$4),NA()),NA())</x:f>
        <x:v>1</x:v>
      </x:c>
      <x:c r="L56" s="23" t="n">
        <x:f>IF(OR($F$4=1,$F$4=2,$F$4=3),IF(ISNUMBER(INDEX(L57:L59,$F$4)),INDEX(L57:L59,$F$4),NA()),NA())</x:f>
        <x:v>1</x:v>
      </x:c>
      <x:c r="M56" s="23" t="n">
        <x:f>IF(OR($F$4=1,$F$4=2,$F$4=3),IF(ISNUMBER(INDEX(M57:M59,$F$4)),INDEX(M57:M59,$F$4),NA()),NA())</x:f>
        <x:v>1</x:v>
      </x:c>
      <x:c r="N56" s="23" t="n">
        <x:f>IF(OR($F$4=1,$F$4=2,$F$4=3),IF(ISNUMBER(INDEX(N57:N59,$F$4)),INDEX(N57:N59,$F$4),NA()),NA())</x:f>
        <x:v>1</x:v>
      </x:c>
      <x:c r="O56" s="23" t="n">
        <x:f>IF(OR($F$4=1,$F$4=2,$F$4=3),IF(ISNUMBER(INDEX(O57:O59,$F$4)),INDEX(O57:O59,$F$4),NA()),NA())</x:f>
        <x:v>1</x:v>
      </x:c>
      <x:c r="P56" s="23" t="n">
        <x:f>IF(OR($F$4=1,$F$4=2,$F$4=3),IF(ISNUMBER(INDEX(P57:P59,$F$4)),INDEX(P57:P59,$F$4),NA()),NA())</x:f>
        <x:v>1</x:v>
      </x:c>
      <x:c r="Q56" s="23" t="n">
        <x:f>IF(OR($F$4=1,$F$4=2,$F$4=3),IF(ISNUMBER(INDEX(Q57:Q59,$F$4)),INDEX(Q57:Q59,$F$4),NA()),NA())</x:f>
        <x:v>1</x:v>
      </x:c>
      <x:c r="R56" s="23" t="n">
        <x:f>IF(OR($F$4=1,$F$4=2,$F$4=3),IF(ISNUMBER(INDEX(R57:R59,$F$4)),INDEX(R57:R59,$F$4),NA()),NA())</x:f>
        <x:v>1</x:v>
      </x:c>
      <x:c r="S56" s="23" t="n">
        <x:f>IF(OR($F$4=1,$F$4=2,$F$4=3),IF(ISNUMBER(INDEX(S57:S59,$F$4)),INDEX(S57:S59,$F$4),NA()),NA())</x:f>
        <x:v>1</x:v>
      </x:c>
      <x:c r="T56" s="23" t="n">
        <x:f>IF(OR($F$4=1,$F$4=2,$F$4=3),IF(ISNUMBER(INDEX(T57:T59,$F$4)),INDEX(T57:T59,$F$4),NA()),NA())</x:f>
        <x:v>1</x:v>
      </x:c>
      <x:c r="U56" s="23" t="n">
        <x:f>IF(OR($F$4=1,$F$4=2,$F$4=3),IF(ISNUMBER(INDEX(U57:U59,$F$4)),INDEX(U57:U59,$F$4),NA()),NA())</x:f>
        <x:v>1</x:v>
      </x:c>
      <x:c r="V56" s="23" t="n">
        <x:f>IF(OR($F$4=1,$F$4=2,$F$4=3),IF(ISNUMBER(INDEX(V57:V59,$F$4)),INDEX(V57:V59,$F$4),NA()),NA())</x:f>
        <x:v>1</x:v>
      </x:c>
      <x:c r="W56" s="23" t="n">
        <x:f>IF(OR($F$4=1,$F$4=2,$F$4=3),IF(ISNUMBER(INDEX(W57:W59,$F$4)),INDEX(W57:W59,$F$4),NA()),NA())</x:f>
        <x:v>1</x:v>
      </x:c>
      <x:c r="X56" s="23" t="n">
        <x:f>IF(OR($F$4=1,$F$4=2,$F$4=3),IF(ISNUMBER(INDEX(X57:X59,$F$4)),INDEX(X57:X59,$F$4),NA()),NA())</x:f>
        <x:v>1</x:v>
      </x:c>
      <x:c r="Y56" s="23" t="n">
        <x:f>IF(OR($F$4=1,$F$4=2,$F$4=3),IF(ISNUMBER(INDEX(Y57:Y59,$F$4)),INDEX(Y57:Y59,$F$4),NA()),NA())</x:f>
        <x:v>1</x:v>
      </x:c>
      <x:c r="Z56" s="23" t="n">
        <x:f>IF(OR($F$4=1,$F$4=2,$F$4=3),IF(ISNUMBER(INDEX(Z57:Z59,$F$4)),INDEX(Z57:Z59,$F$4),NA()),NA())</x:f>
        <x:v>1</x:v>
      </x:c>
      <x:c r="AA56" s="23" t="n">
        <x:f>IF(OR($F$4=1,$F$4=2,$F$4=3),IF(ISNUMBER(INDEX(AA57:AA59,$F$4)),INDEX(AA57:AA59,$F$4),NA()),NA())</x:f>
        <x:v>1</x:v>
      </x:c>
      <x:c r="AB56" s="23" t="n">
        <x:f>IF(OR($F$4=1,$F$4=2,$F$4=3),IF(ISNUMBER(INDEX(AB57:AB59,$F$4)),INDEX(AB57:AB59,$F$4),NA()),NA())</x:f>
        <x:v>1</x:v>
      </x:c>
      <x:c r="AC56" s="23" t="n">
        <x:f>IF(OR($F$4=1,$F$4=2,$F$4=3),IF(ISNUMBER(INDEX(AC57:AC59,$F$4)),INDEX(AC57:AC59,$F$4),NA()),NA())</x:f>
        <x:v>1</x:v>
      </x:c>
    </x:row>
    <x:row r="57" ht="23" customHeight="1">
      <x:c r="A57" s="2"/>
      <x:c r="B57" s="2"/>
      <x:c r="C57" s="2"/>
      <x:c r="D57" s="2"/>
      <x:c r="E57" s="2" t="str">
        <x:v>保守</x:v>
      </x:c>
      <x:c r="F57" s="22" t="n">
        <x:v>1</x:v>
      </x:c>
      <x:c r="G57" s="22" t="n">
        <x:v>1</x:v>
      </x:c>
      <x:c r="H57" s="22" t="n">
        <x:v>1</x:v>
      </x:c>
      <x:c r="I57" s="22" t="n">
        <x:v>1</x:v>
      </x:c>
      <x:c r="J57" s="22" t="n">
        <x:v>1</x:v>
      </x:c>
      <x:c r="K57" s="22" t="n">
        <x:v>1</x:v>
      </x:c>
      <x:c r="L57" s="22" t="n">
        <x:v>1</x:v>
      </x:c>
      <x:c r="M57" s="22" t="n">
        <x:v>1</x:v>
      </x:c>
      <x:c r="N57" s="22" t="n">
        <x:v>1</x:v>
      </x:c>
      <x:c r="O57" s="22" t="n">
        <x:v>1</x:v>
      </x:c>
      <x:c r="P57" s="22" t="n">
        <x:v>1</x:v>
      </x:c>
      <x:c r="Q57" s="22" t="n">
        <x:v>1</x:v>
      </x:c>
      <x:c r="R57" s="22" t="n">
        <x:v>1</x:v>
      </x:c>
      <x:c r="S57" s="22" t="n">
        <x:v>1</x:v>
      </x:c>
      <x:c r="T57" s="22" t="n">
        <x:v>1</x:v>
      </x:c>
      <x:c r="U57" s="22" t="n">
        <x:v>1</x:v>
      </x:c>
      <x:c r="V57" s="22" t="n">
        <x:v>1</x:v>
      </x:c>
      <x:c r="W57" s="22" t="n">
        <x:v>1</x:v>
      </x:c>
      <x:c r="X57" s="22" t="n">
        <x:v>1</x:v>
      </x:c>
      <x:c r="Y57" s="22" t="n">
        <x:v>1</x:v>
      </x:c>
      <x:c r="Z57" s="22" t="n">
        <x:v>1</x:v>
      </x:c>
      <x:c r="AA57" s="22" t="n">
        <x:v>1</x:v>
      </x:c>
      <x:c r="AB57" s="22" t="n">
        <x:v>1</x:v>
      </x:c>
      <x:c r="AC57" s="22" t="n">
        <x:v>1</x:v>
      </x:c>
    </x:row>
    <x:row r="58" ht="23" customHeight="1">
      <x:c r="A58" s="2"/>
      <x:c r="B58" s="2"/>
      <x:c r="C58" s="2"/>
      <x:c r="D58" s="2"/>
      <x:c r="E58" s="2" t="str">
        <x:v>基準</x:v>
      </x:c>
      <x:c r="F58" s="22" t="n">
        <x:v>1</x:v>
      </x:c>
      <x:c r="G58" s="22" t="n">
        <x:v>1</x:v>
      </x:c>
      <x:c r="H58" s="22" t="n">
        <x:v>1</x:v>
      </x:c>
      <x:c r="I58" s="22" t="n">
        <x:v>1</x:v>
      </x:c>
      <x:c r="J58" s="22" t="n">
        <x:v>1</x:v>
      </x:c>
      <x:c r="K58" s="22" t="n">
        <x:v>1</x:v>
      </x:c>
      <x:c r="L58" s="22" t="n">
        <x:v>1</x:v>
      </x:c>
      <x:c r="M58" s="22" t="n">
        <x:v>1</x:v>
      </x:c>
      <x:c r="N58" s="22" t="n">
        <x:v>1</x:v>
      </x:c>
      <x:c r="O58" s="22" t="n">
        <x:v>1</x:v>
      </x:c>
      <x:c r="P58" s="22" t="n">
        <x:v>1</x:v>
      </x:c>
      <x:c r="Q58" s="22" t="n">
        <x:v>1</x:v>
      </x:c>
      <x:c r="R58" s="22" t="n">
        <x:v>1</x:v>
      </x:c>
      <x:c r="S58" s="22" t="n">
        <x:v>1</x:v>
      </x:c>
      <x:c r="T58" s="22" t="n">
        <x:v>1</x:v>
      </x:c>
      <x:c r="U58" s="22" t="n">
        <x:v>1</x:v>
      </x:c>
      <x:c r="V58" s="22" t="n">
        <x:v>1</x:v>
      </x:c>
      <x:c r="W58" s="22" t="n">
        <x:v>1</x:v>
      </x:c>
      <x:c r="X58" s="22" t="n">
        <x:v>1</x:v>
      </x:c>
      <x:c r="Y58" s="22" t="n">
        <x:v>1</x:v>
      </x:c>
      <x:c r="Z58" s="22" t="n">
        <x:v>1</x:v>
      </x:c>
      <x:c r="AA58" s="22" t="n">
        <x:v>1</x:v>
      </x:c>
      <x:c r="AB58" s="22" t="n">
        <x:v>1</x:v>
      </x:c>
      <x:c r="AC58" s="22" t="n">
        <x:v>1</x:v>
      </x:c>
    </x:row>
    <x:row r="59" ht="23" customHeight="1">
      <x:c r="A59" s="2"/>
      <x:c r="B59" s="2"/>
      <x:c r="C59" s="2"/>
      <x:c r="D59" s="2"/>
      <x:c r="E59" s="2" t="str">
        <x:v>成長</x:v>
      </x:c>
      <x:c r="F59" s="22" t="n">
        <x:v>0.75</x:v>
      </x:c>
      <x:c r="G59" s="22" t="n">
        <x:v>0.75</x:v>
      </x:c>
      <x:c r="H59" s="22" t="n">
        <x:v>0.75</x:v>
      </x:c>
      <x:c r="I59" s="22" t="n">
        <x:v>0.75</x:v>
      </x:c>
      <x:c r="J59" s="22" t="n">
        <x:v>0.75</x:v>
      </x:c>
      <x:c r="K59" s="22" t="n">
        <x:v>0.75</x:v>
      </x:c>
      <x:c r="L59" s="22" t="n">
        <x:v>0.75</x:v>
      </x:c>
      <x:c r="M59" s="22" t="n">
        <x:v>0.75</x:v>
      </x:c>
      <x:c r="N59" s="22" t="n">
        <x:v>0.75</x:v>
      </x:c>
      <x:c r="O59" s="22" t="n">
        <x:v>0.75</x:v>
      </x:c>
      <x:c r="P59" s="22" t="n">
        <x:v>0.75</x:v>
      </x:c>
      <x:c r="Q59" s="22" t="n">
        <x:v>0.75</x:v>
      </x:c>
      <x:c r="R59" s="22" t="n">
        <x:v>0.75</x:v>
      </x:c>
      <x:c r="S59" s="22" t="n">
        <x:v>0.75</x:v>
      </x:c>
      <x:c r="T59" s="22" t="n">
        <x:v>0.75</x:v>
      </x:c>
      <x:c r="U59" s="22" t="n">
        <x:v>0.75</x:v>
      </x:c>
      <x:c r="V59" s="22" t="n">
        <x:v>0.75</x:v>
      </x:c>
      <x:c r="W59" s="22" t="n">
        <x:v>0.75</x:v>
      </x:c>
      <x:c r="X59" s="22" t="n">
        <x:v>0.75</x:v>
      </x:c>
      <x:c r="Y59" s="22" t="n">
        <x:v>0.75</x:v>
      </x:c>
      <x:c r="Z59" s="22" t="n">
        <x:v>0.75</x:v>
      </x:c>
      <x:c r="AA59" s="22" t="n">
        <x:v>0.75</x:v>
      </x:c>
      <x:c r="AB59" s="22" t="n">
        <x:v>0.75</x:v>
      </x:c>
      <x:c r="AC59" s="22" t="n">
        <x:v>0.75</x:v>
      </x:c>
    </x:row>
    <x:row r="60" ht="23" customHeight="1">
      <x:c r="A60" s="2"/>
      <x:c r="B60" s="2"/>
      <x:c r="C60" s="18" t="str">
        <x:v>每家試用支援工時</x:v>
      </x:c>
      <x:c r="D60" s="18" t="str">
        <x:v>小時</x:v>
      </x:c>
      <x:c r="E60" s="18" t="str">
        <x:v>目前採用</x:v>
      </x:c>
      <x:c r="F60" s="23" t="n">
        <x:f>IF(OR($F$4=1,$F$4=2,$F$4=3),IF(ISNUMBER(INDEX(F61:F63,$F$4)),INDEX(F61:F63,$F$4),NA()),NA())</x:f>
        <x:v>1</x:v>
      </x:c>
      <x:c r="G60" s="23" t="n">
        <x:f>IF(OR($F$4=1,$F$4=2,$F$4=3),IF(ISNUMBER(INDEX(G61:G63,$F$4)),INDEX(G61:G63,$F$4),NA()),NA())</x:f>
        <x:v>1</x:v>
      </x:c>
      <x:c r="H60" s="23" t="n">
        <x:f>IF(OR($F$4=1,$F$4=2,$F$4=3),IF(ISNUMBER(INDEX(H61:H63,$F$4)),INDEX(H61:H63,$F$4),NA()),NA())</x:f>
        <x:v>1</x:v>
      </x:c>
      <x:c r="I60" s="23" t="n">
        <x:f>IF(OR($F$4=1,$F$4=2,$F$4=3),IF(ISNUMBER(INDEX(I61:I63,$F$4)),INDEX(I61:I63,$F$4),NA()),NA())</x:f>
        <x:v>1</x:v>
      </x:c>
      <x:c r="J60" s="23" t="n">
        <x:f>IF(OR($F$4=1,$F$4=2,$F$4=3),IF(ISNUMBER(INDEX(J61:J63,$F$4)),INDEX(J61:J63,$F$4),NA()),NA())</x:f>
        <x:v>1</x:v>
      </x:c>
      <x:c r="K60" s="23" t="n">
        <x:f>IF(OR($F$4=1,$F$4=2,$F$4=3),IF(ISNUMBER(INDEX(K61:K63,$F$4)),INDEX(K61:K63,$F$4),NA()),NA())</x:f>
        <x:v>1</x:v>
      </x:c>
      <x:c r="L60" s="23" t="n">
        <x:f>IF(OR($F$4=1,$F$4=2,$F$4=3),IF(ISNUMBER(INDEX(L61:L63,$F$4)),INDEX(L61:L63,$F$4),NA()),NA())</x:f>
        <x:v>1</x:v>
      </x:c>
      <x:c r="M60" s="23" t="n">
        <x:f>IF(OR($F$4=1,$F$4=2,$F$4=3),IF(ISNUMBER(INDEX(M61:M63,$F$4)),INDEX(M61:M63,$F$4),NA()),NA())</x:f>
        <x:v>1</x:v>
      </x:c>
      <x:c r="N60" s="23" t="n">
        <x:f>IF(OR($F$4=1,$F$4=2,$F$4=3),IF(ISNUMBER(INDEX(N61:N63,$F$4)),INDEX(N61:N63,$F$4),NA()),NA())</x:f>
        <x:v>1</x:v>
      </x:c>
      <x:c r="O60" s="23" t="n">
        <x:f>IF(OR($F$4=1,$F$4=2,$F$4=3),IF(ISNUMBER(INDEX(O61:O63,$F$4)),INDEX(O61:O63,$F$4),NA()),NA())</x:f>
        <x:v>1</x:v>
      </x:c>
      <x:c r="P60" s="23" t="n">
        <x:f>IF(OR($F$4=1,$F$4=2,$F$4=3),IF(ISNUMBER(INDEX(P61:P63,$F$4)),INDEX(P61:P63,$F$4),NA()),NA())</x:f>
        <x:v>1</x:v>
      </x:c>
      <x:c r="Q60" s="23" t="n">
        <x:f>IF(OR($F$4=1,$F$4=2,$F$4=3),IF(ISNUMBER(INDEX(Q61:Q63,$F$4)),INDEX(Q61:Q63,$F$4),NA()),NA())</x:f>
        <x:v>1</x:v>
      </x:c>
      <x:c r="R60" s="23" t="n">
        <x:f>IF(OR($F$4=1,$F$4=2,$F$4=3),IF(ISNUMBER(INDEX(R61:R63,$F$4)),INDEX(R61:R63,$F$4),NA()),NA())</x:f>
        <x:v>1</x:v>
      </x:c>
      <x:c r="S60" s="23" t="n">
        <x:f>IF(OR($F$4=1,$F$4=2,$F$4=3),IF(ISNUMBER(INDEX(S61:S63,$F$4)),INDEX(S61:S63,$F$4),NA()),NA())</x:f>
        <x:v>1</x:v>
      </x:c>
      <x:c r="T60" s="23" t="n">
        <x:f>IF(OR($F$4=1,$F$4=2,$F$4=3),IF(ISNUMBER(INDEX(T61:T63,$F$4)),INDEX(T61:T63,$F$4),NA()),NA())</x:f>
        <x:v>1</x:v>
      </x:c>
      <x:c r="U60" s="23" t="n">
        <x:f>IF(OR($F$4=1,$F$4=2,$F$4=3),IF(ISNUMBER(INDEX(U61:U63,$F$4)),INDEX(U61:U63,$F$4),NA()),NA())</x:f>
        <x:v>1</x:v>
      </x:c>
      <x:c r="V60" s="23" t="n">
        <x:f>IF(OR($F$4=1,$F$4=2,$F$4=3),IF(ISNUMBER(INDEX(V61:V63,$F$4)),INDEX(V61:V63,$F$4),NA()),NA())</x:f>
        <x:v>1</x:v>
      </x:c>
      <x:c r="W60" s="23" t="n">
        <x:f>IF(OR($F$4=1,$F$4=2,$F$4=3),IF(ISNUMBER(INDEX(W61:W63,$F$4)),INDEX(W61:W63,$F$4),NA()),NA())</x:f>
        <x:v>1</x:v>
      </x:c>
      <x:c r="X60" s="23" t="n">
        <x:f>IF(OR($F$4=1,$F$4=2,$F$4=3),IF(ISNUMBER(INDEX(X61:X63,$F$4)),INDEX(X61:X63,$F$4),NA()),NA())</x:f>
        <x:v>1</x:v>
      </x:c>
      <x:c r="Y60" s="23" t="n">
        <x:f>IF(OR($F$4=1,$F$4=2,$F$4=3),IF(ISNUMBER(INDEX(Y61:Y63,$F$4)),INDEX(Y61:Y63,$F$4),NA()),NA())</x:f>
        <x:v>1</x:v>
      </x:c>
      <x:c r="Z60" s="23" t="n">
        <x:f>IF(OR($F$4=1,$F$4=2,$F$4=3),IF(ISNUMBER(INDEX(Z61:Z63,$F$4)),INDEX(Z61:Z63,$F$4),NA()),NA())</x:f>
        <x:v>1</x:v>
      </x:c>
      <x:c r="AA60" s="23" t="n">
        <x:f>IF(OR($F$4=1,$F$4=2,$F$4=3),IF(ISNUMBER(INDEX(AA61:AA63,$F$4)),INDEX(AA61:AA63,$F$4),NA()),NA())</x:f>
        <x:v>1</x:v>
      </x:c>
      <x:c r="AB60" s="23" t="n">
        <x:f>IF(OR($F$4=1,$F$4=2,$F$4=3),IF(ISNUMBER(INDEX(AB61:AB63,$F$4)),INDEX(AB61:AB63,$F$4),NA()),NA())</x:f>
        <x:v>1</x:v>
      </x:c>
      <x:c r="AC60" s="23" t="n">
        <x:f>IF(OR($F$4=1,$F$4=2,$F$4=3),IF(ISNUMBER(INDEX(AC61:AC63,$F$4)),INDEX(AC61:AC63,$F$4),NA()),NA())</x:f>
        <x:v>1</x:v>
      </x:c>
    </x:row>
    <x:row r="61" ht="23" customHeight="1">
      <x:c r="A61" s="2"/>
      <x:c r="B61" s="2"/>
      <x:c r="C61" s="2"/>
      <x:c r="D61" s="2"/>
      <x:c r="E61" s="2" t="str">
        <x:v>保守</x:v>
      </x:c>
      <x:c r="F61" s="22" t="n">
        <x:v>1</x:v>
      </x:c>
      <x:c r="G61" s="22" t="n">
        <x:v>1</x:v>
      </x:c>
      <x:c r="H61" s="22" t="n">
        <x:v>1</x:v>
      </x:c>
      <x:c r="I61" s="22" t="n">
        <x:v>1</x:v>
      </x:c>
      <x:c r="J61" s="22" t="n">
        <x:v>1</x:v>
      </x:c>
      <x:c r="K61" s="22" t="n">
        <x:v>1</x:v>
      </x:c>
      <x:c r="L61" s="22" t="n">
        <x:v>1</x:v>
      </x:c>
      <x:c r="M61" s="22" t="n">
        <x:v>1</x:v>
      </x:c>
      <x:c r="N61" s="22" t="n">
        <x:v>1</x:v>
      </x:c>
      <x:c r="O61" s="22" t="n">
        <x:v>1</x:v>
      </x:c>
      <x:c r="P61" s="22" t="n">
        <x:v>1</x:v>
      </x:c>
      <x:c r="Q61" s="22" t="n">
        <x:v>1</x:v>
      </x:c>
      <x:c r="R61" s="22" t="n">
        <x:v>1</x:v>
      </x:c>
      <x:c r="S61" s="22" t="n">
        <x:v>1</x:v>
      </x:c>
      <x:c r="T61" s="22" t="n">
        <x:v>1</x:v>
      </x:c>
      <x:c r="U61" s="22" t="n">
        <x:v>1</x:v>
      </x:c>
      <x:c r="V61" s="22" t="n">
        <x:v>1</x:v>
      </x:c>
      <x:c r="W61" s="22" t="n">
        <x:v>1</x:v>
      </x:c>
      <x:c r="X61" s="22" t="n">
        <x:v>1</x:v>
      </x:c>
      <x:c r="Y61" s="22" t="n">
        <x:v>1</x:v>
      </x:c>
      <x:c r="Z61" s="22" t="n">
        <x:v>1</x:v>
      </x:c>
      <x:c r="AA61" s="22" t="n">
        <x:v>1</x:v>
      </x:c>
      <x:c r="AB61" s="22" t="n">
        <x:v>1</x:v>
      </x:c>
      <x:c r="AC61" s="22" t="n">
        <x:v>1</x:v>
      </x:c>
    </x:row>
    <x:row r="62" ht="23" customHeight="1">
      <x:c r="A62" s="2"/>
      <x:c r="B62" s="2"/>
      <x:c r="C62" s="2"/>
      <x:c r="D62" s="2"/>
      <x:c r="E62" s="2" t="str">
        <x:v>基準</x:v>
      </x:c>
      <x:c r="F62" s="22" t="n">
        <x:v>1</x:v>
      </x:c>
      <x:c r="G62" s="22" t="n">
        <x:v>1</x:v>
      </x:c>
      <x:c r="H62" s="22" t="n">
        <x:v>1</x:v>
      </x:c>
      <x:c r="I62" s="22" t="n">
        <x:v>1</x:v>
      </x:c>
      <x:c r="J62" s="22" t="n">
        <x:v>1</x:v>
      </x:c>
      <x:c r="K62" s="22" t="n">
        <x:v>1</x:v>
      </x:c>
      <x:c r="L62" s="22" t="n">
        <x:v>1</x:v>
      </x:c>
      <x:c r="M62" s="22" t="n">
        <x:v>1</x:v>
      </x:c>
      <x:c r="N62" s="22" t="n">
        <x:v>1</x:v>
      </x:c>
      <x:c r="O62" s="22" t="n">
        <x:v>1</x:v>
      </x:c>
      <x:c r="P62" s="22" t="n">
        <x:v>1</x:v>
      </x:c>
      <x:c r="Q62" s="22" t="n">
        <x:v>1</x:v>
      </x:c>
      <x:c r="R62" s="22" t="n">
        <x:v>1</x:v>
      </x:c>
      <x:c r="S62" s="22" t="n">
        <x:v>1</x:v>
      </x:c>
      <x:c r="T62" s="22" t="n">
        <x:v>1</x:v>
      </x:c>
      <x:c r="U62" s="22" t="n">
        <x:v>1</x:v>
      </x:c>
      <x:c r="V62" s="22" t="n">
        <x:v>1</x:v>
      </x:c>
      <x:c r="W62" s="22" t="n">
        <x:v>1</x:v>
      </x:c>
      <x:c r="X62" s="22" t="n">
        <x:v>1</x:v>
      </x:c>
      <x:c r="Y62" s="22" t="n">
        <x:v>1</x:v>
      </x:c>
      <x:c r="Z62" s="22" t="n">
        <x:v>1</x:v>
      </x:c>
      <x:c r="AA62" s="22" t="n">
        <x:v>1</x:v>
      </x:c>
      <x:c r="AB62" s="22" t="n">
        <x:v>1</x:v>
      </x:c>
      <x:c r="AC62" s="22" t="n">
        <x:v>1</x:v>
      </x:c>
    </x:row>
    <x:row r="63" ht="23" customHeight="1">
      <x:c r="A63" s="2"/>
      <x:c r="B63" s="2"/>
      <x:c r="C63" s="2"/>
      <x:c r="D63" s="2"/>
      <x:c r="E63" s="2" t="str">
        <x:v>成長</x:v>
      </x:c>
      <x:c r="F63" s="22" t="n">
        <x:v>0.5</x:v>
      </x:c>
      <x:c r="G63" s="22" t="n">
        <x:v>0.5</x:v>
      </x:c>
      <x:c r="H63" s="22" t="n">
        <x:v>0.5</x:v>
      </x:c>
      <x:c r="I63" s="22" t="n">
        <x:v>0.5</x:v>
      </x:c>
      <x:c r="J63" s="22" t="n">
        <x:v>0.5</x:v>
      </x:c>
      <x:c r="K63" s="22" t="n">
        <x:v>0.5</x:v>
      </x:c>
      <x:c r="L63" s="22" t="n">
        <x:v>0.5</x:v>
      </x:c>
      <x:c r="M63" s="22" t="n">
        <x:v>0.5</x:v>
      </x:c>
      <x:c r="N63" s="22" t="n">
        <x:v>0.5</x:v>
      </x:c>
      <x:c r="O63" s="22" t="n">
        <x:v>0.5</x:v>
      </x:c>
      <x:c r="P63" s="22" t="n">
        <x:v>0.5</x:v>
      </x:c>
      <x:c r="Q63" s="22" t="n">
        <x:v>0.5</x:v>
      </x:c>
      <x:c r="R63" s="22" t="n">
        <x:v>0.5</x:v>
      </x:c>
      <x:c r="S63" s="22" t="n">
        <x:v>0.5</x:v>
      </x:c>
      <x:c r="T63" s="22" t="n">
        <x:v>0.5</x:v>
      </x:c>
      <x:c r="U63" s="22" t="n">
        <x:v>0.5</x:v>
      </x:c>
      <x:c r="V63" s="22" t="n">
        <x:v>0.5</x:v>
      </x:c>
      <x:c r="W63" s="22" t="n">
        <x:v>0.5</x:v>
      </x:c>
      <x:c r="X63" s="22" t="n">
        <x:v>0.5</x:v>
      </x:c>
      <x:c r="Y63" s="22" t="n">
        <x:v>0.5</x:v>
      </x:c>
      <x:c r="Z63" s="22" t="n">
        <x:v>0.5</x:v>
      </x:c>
      <x:c r="AA63" s="22" t="n">
        <x:v>0.5</x:v>
      </x:c>
      <x:c r="AB63" s="22" t="n">
        <x:v>0.5</x:v>
      </x:c>
      <x:c r="AC63" s="22" t="n">
        <x:v>0.5</x:v>
      </x:c>
    </x:row>
    <x:row r="64" ht="23" customHeight="1">
      <x:c r="A64" s="2"/>
      <x:c r="B64" s="2"/>
      <x:c r="C64" s="18" t="str">
        <x:v>每家付費導入工時</x:v>
      </x:c>
      <x:c r="D64" s="18" t="str">
        <x:v>小時</x:v>
      </x:c>
      <x:c r="E64" s="18" t="str">
        <x:v>目前採用</x:v>
      </x:c>
      <x:c r="F64" s="23" t="n">
        <x:f>IF(OR($F$4=1,$F$4=2,$F$4=3),IF(ISNUMBER(INDEX(F65:F67,$F$4)),INDEX(F65:F67,$F$4),NA()),NA())</x:f>
        <x:v>3</x:v>
      </x:c>
      <x:c r="G64" s="23" t="n">
        <x:f>IF(OR($F$4=1,$F$4=2,$F$4=3),IF(ISNUMBER(INDEX(G65:G67,$F$4)),INDEX(G65:G67,$F$4),NA()),NA())</x:f>
        <x:v>3</x:v>
      </x:c>
      <x:c r="H64" s="23" t="n">
        <x:f>IF(OR($F$4=1,$F$4=2,$F$4=3),IF(ISNUMBER(INDEX(H65:H67,$F$4)),INDEX(H65:H67,$F$4),NA()),NA())</x:f>
        <x:v>3</x:v>
      </x:c>
      <x:c r="I64" s="23" t="n">
        <x:f>IF(OR($F$4=1,$F$4=2,$F$4=3),IF(ISNUMBER(INDEX(I65:I67,$F$4)),INDEX(I65:I67,$F$4),NA()),NA())</x:f>
        <x:v>3</x:v>
      </x:c>
      <x:c r="J64" s="23" t="n">
        <x:f>IF(OR($F$4=1,$F$4=2,$F$4=3),IF(ISNUMBER(INDEX(J65:J67,$F$4)),INDEX(J65:J67,$F$4),NA()),NA())</x:f>
        <x:v>3</x:v>
      </x:c>
      <x:c r="K64" s="23" t="n">
        <x:f>IF(OR($F$4=1,$F$4=2,$F$4=3),IF(ISNUMBER(INDEX(K65:K67,$F$4)),INDEX(K65:K67,$F$4),NA()),NA())</x:f>
        <x:v>3</x:v>
      </x:c>
      <x:c r="L64" s="23" t="n">
        <x:f>IF(OR($F$4=1,$F$4=2,$F$4=3),IF(ISNUMBER(INDEX(L65:L67,$F$4)),INDEX(L65:L67,$F$4),NA()),NA())</x:f>
        <x:v>3</x:v>
      </x:c>
      <x:c r="M64" s="23" t="n">
        <x:f>IF(OR($F$4=1,$F$4=2,$F$4=3),IF(ISNUMBER(INDEX(M65:M67,$F$4)),INDEX(M65:M67,$F$4),NA()),NA())</x:f>
        <x:v>3</x:v>
      </x:c>
      <x:c r="N64" s="23" t="n">
        <x:f>IF(OR($F$4=1,$F$4=2,$F$4=3),IF(ISNUMBER(INDEX(N65:N67,$F$4)),INDEX(N65:N67,$F$4),NA()),NA())</x:f>
        <x:v>3</x:v>
      </x:c>
      <x:c r="O64" s="23" t="n">
        <x:f>IF(OR($F$4=1,$F$4=2,$F$4=3),IF(ISNUMBER(INDEX(O65:O67,$F$4)),INDEX(O65:O67,$F$4),NA()),NA())</x:f>
        <x:v>3</x:v>
      </x:c>
      <x:c r="P64" s="23" t="n">
        <x:f>IF(OR($F$4=1,$F$4=2,$F$4=3),IF(ISNUMBER(INDEX(P65:P67,$F$4)),INDEX(P65:P67,$F$4),NA()),NA())</x:f>
        <x:v>3</x:v>
      </x:c>
      <x:c r="Q64" s="23" t="n">
        <x:f>IF(OR($F$4=1,$F$4=2,$F$4=3),IF(ISNUMBER(INDEX(Q65:Q67,$F$4)),INDEX(Q65:Q67,$F$4),NA()),NA())</x:f>
        <x:v>3</x:v>
      </x:c>
      <x:c r="R64" s="23" t="n">
        <x:f>IF(OR($F$4=1,$F$4=2,$F$4=3),IF(ISNUMBER(INDEX(R65:R67,$F$4)),INDEX(R65:R67,$F$4),NA()),NA())</x:f>
        <x:v>3</x:v>
      </x:c>
      <x:c r="S64" s="23" t="n">
        <x:f>IF(OR($F$4=1,$F$4=2,$F$4=3),IF(ISNUMBER(INDEX(S65:S67,$F$4)),INDEX(S65:S67,$F$4),NA()),NA())</x:f>
        <x:v>3</x:v>
      </x:c>
      <x:c r="T64" s="23" t="n">
        <x:f>IF(OR($F$4=1,$F$4=2,$F$4=3),IF(ISNUMBER(INDEX(T65:T67,$F$4)),INDEX(T65:T67,$F$4),NA()),NA())</x:f>
        <x:v>3</x:v>
      </x:c>
      <x:c r="U64" s="23" t="n">
        <x:f>IF(OR($F$4=1,$F$4=2,$F$4=3),IF(ISNUMBER(INDEX(U65:U67,$F$4)),INDEX(U65:U67,$F$4),NA()),NA())</x:f>
        <x:v>3</x:v>
      </x:c>
      <x:c r="V64" s="23" t="n">
        <x:f>IF(OR($F$4=1,$F$4=2,$F$4=3),IF(ISNUMBER(INDEX(V65:V67,$F$4)),INDEX(V65:V67,$F$4),NA()),NA())</x:f>
        <x:v>3</x:v>
      </x:c>
      <x:c r="W64" s="23" t="n">
        <x:f>IF(OR($F$4=1,$F$4=2,$F$4=3),IF(ISNUMBER(INDEX(W65:W67,$F$4)),INDEX(W65:W67,$F$4),NA()),NA())</x:f>
        <x:v>3</x:v>
      </x:c>
      <x:c r="X64" s="23" t="n">
        <x:f>IF(OR($F$4=1,$F$4=2,$F$4=3),IF(ISNUMBER(INDEX(X65:X67,$F$4)),INDEX(X65:X67,$F$4),NA()),NA())</x:f>
        <x:v>3</x:v>
      </x:c>
      <x:c r="Y64" s="23" t="n">
        <x:f>IF(OR($F$4=1,$F$4=2,$F$4=3),IF(ISNUMBER(INDEX(Y65:Y67,$F$4)),INDEX(Y65:Y67,$F$4),NA()),NA())</x:f>
        <x:v>3</x:v>
      </x:c>
      <x:c r="Z64" s="23" t="n">
        <x:f>IF(OR($F$4=1,$F$4=2,$F$4=3),IF(ISNUMBER(INDEX(Z65:Z67,$F$4)),INDEX(Z65:Z67,$F$4),NA()),NA())</x:f>
        <x:v>3</x:v>
      </x:c>
      <x:c r="AA64" s="23" t="n">
        <x:f>IF(OR($F$4=1,$F$4=2,$F$4=3),IF(ISNUMBER(INDEX(AA65:AA67,$F$4)),INDEX(AA65:AA67,$F$4),NA()),NA())</x:f>
        <x:v>3</x:v>
      </x:c>
      <x:c r="AB64" s="23" t="n">
        <x:f>IF(OR($F$4=1,$F$4=2,$F$4=3),IF(ISNUMBER(INDEX(AB65:AB67,$F$4)),INDEX(AB65:AB67,$F$4),NA()),NA())</x:f>
        <x:v>3</x:v>
      </x:c>
      <x:c r="AC64" s="23" t="n">
        <x:f>IF(OR($F$4=1,$F$4=2,$F$4=3),IF(ISNUMBER(INDEX(AC65:AC67,$F$4)),INDEX(AC65:AC67,$F$4),NA()),NA())</x:f>
        <x:v>3</x:v>
      </x:c>
    </x:row>
    <x:row r="65" ht="23" customHeight="1">
      <x:c r="A65" s="2"/>
      <x:c r="B65" s="2"/>
      <x:c r="C65" s="2"/>
      <x:c r="D65" s="2"/>
      <x:c r="E65" s="2" t="str">
        <x:v>保守</x:v>
      </x:c>
      <x:c r="F65" s="22" t="n">
        <x:v>4</x:v>
      </x:c>
      <x:c r="G65" s="22" t="n">
        <x:v>4</x:v>
      </x:c>
      <x:c r="H65" s="22" t="n">
        <x:v>4</x:v>
      </x:c>
      <x:c r="I65" s="22" t="n">
        <x:v>4</x:v>
      </x:c>
      <x:c r="J65" s="22" t="n">
        <x:v>4</x:v>
      </x:c>
      <x:c r="K65" s="22" t="n">
        <x:v>4</x:v>
      </x:c>
      <x:c r="L65" s="22" t="n">
        <x:v>4</x:v>
      </x:c>
      <x:c r="M65" s="22" t="n">
        <x:v>4</x:v>
      </x:c>
      <x:c r="N65" s="22" t="n">
        <x:v>4</x:v>
      </x:c>
      <x:c r="O65" s="22" t="n">
        <x:v>4</x:v>
      </x:c>
      <x:c r="P65" s="22" t="n">
        <x:v>4</x:v>
      </x:c>
      <x:c r="Q65" s="22" t="n">
        <x:v>4</x:v>
      </x:c>
      <x:c r="R65" s="22" t="n">
        <x:v>4</x:v>
      </x:c>
      <x:c r="S65" s="22" t="n">
        <x:v>4</x:v>
      </x:c>
      <x:c r="T65" s="22" t="n">
        <x:v>4</x:v>
      </x:c>
      <x:c r="U65" s="22" t="n">
        <x:v>4</x:v>
      </x:c>
      <x:c r="V65" s="22" t="n">
        <x:v>4</x:v>
      </x:c>
      <x:c r="W65" s="22" t="n">
        <x:v>4</x:v>
      </x:c>
      <x:c r="X65" s="22" t="n">
        <x:v>4</x:v>
      </x:c>
      <x:c r="Y65" s="22" t="n">
        <x:v>4</x:v>
      </x:c>
      <x:c r="Z65" s="22" t="n">
        <x:v>4</x:v>
      </x:c>
      <x:c r="AA65" s="22" t="n">
        <x:v>4</x:v>
      </x:c>
      <x:c r="AB65" s="22" t="n">
        <x:v>4</x:v>
      </x:c>
      <x:c r="AC65" s="22" t="n">
        <x:v>4</x:v>
      </x:c>
    </x:row>
    <x:row r="66" ht="23" customHeight="1">
      <x:c r="A66" s="2"/>
      <x:c r="B66" s="2"/>
      <x:c r="C66" s="2"/>
      <x:c r="D66" s="2"/>
      <x:c r="E66" s="2" t="str">
        <x:v>基準</x:v>
      </x:c>
      <x:c r="F66" s="22" t="n">
        <x:v>3</x:v>
      </x:c>
      <x:c r="G66" s="22" t="n">
        <x:v>3</x:v>
      </x:c>
      <x:c r="H66" s="22" t="n">
        <x:v>3</x:v>
      </x:c>
      <x:c r="I66" s="22" t="n">
        <x:v>3</x:v>
      </x:c>
      <x:c r="J66" s="22" t="n">
        <x:v>3</x:v>
      </x:c>
      <x:c r="K66" s="22" t="n">
        <x:v>3</x:v>
      </x:c>
      <x:c r="L66" s="22" t="n">
        <x:v>3</x:v>
      </x:c>
      <x:c r="M66" s="22" t="n">
        <x:v>3</x:v>
      </x:c>
      <x:c r="N66" s="22" t="n">
        <x:v>3</x:v>
      </x:c>
      <x:c r="O66" s="22" t="n">
        <x:v>3</x:v>
      </x:c>
      <x:c r="P66" s="22" t="n">
        <x:v>3</x:v>
      </x:c>
      <x:c r="Q66" s="22" t="n">
        <x:v>3</x:v>
      </x:c>
      <x:c r="R66" s="22" t="n">
        <x:v>3</x:v>
      </x:c>
      <x:c r="S66" s="22" t="n">
        <x:v>3</x:v>
      </x:c>
      <x:c r="T66" s="22" t="n">
        <x:v>3</x:v>
      </x:c>
      <x:c r="U66" s="22" t="n">
        <x:v>3</x:v>
      </x:c>
      <x:c r="V66" s="22" t="n">
        <x:v>3</x:v>
      </x:c>
      <x:c r="W66" s="22" t="n">
        <x:v>3</x:v>
      </x:c>
      <x:c r="X66" s="22" t="n">
        <x:v>3</x:v>
      </x:c>
      <x:c r="Y66" s="22" t="n">
        <x:v>3</x:v>
      </x:c>
      <x:c r="Z66" s="22" t="n">
        <x:v>3</x:v>
      </x:c>
      <x:c r="AA66" s="22" t="n">
        <x:v>3</x:v>
      </x:c>
      <x:c r="AB66" s="22" t="n">
        <x:v>3</x:v>
      </x:c>
      <x:c r="AC66" s="22" t="n">
        <x:v>3</x:v>
      </x:c>
    </x:row>
    <x:row r="67" ht="23" customHeight="1">
      <x:c r="A67" s="2"/>
      <x:c r="B67" s="2"/>
      <x:c r="C67" s="2"/>
      <x:c r="D67" s="2"/>
      <x:c r="E67" s="2" t="str">
        <x:v>成長</x:v>
      </x:c>
      <x:c r="F67" s="22" t="n">
        <x:v>2</x:v>
      </x:c>
      <x:c r="G67" s="22" t="n">
        <x:v>2</x:v>
      </x:c>
      <x:c r="H67" s="22" t="n">
        <x:v>2</x:v>
      </x:c>
      <x:c r="I67" s="22" t="n">
        <x:v>2</x:v>
      </x:c>
      <x:c r="J67" s="22" t="n">
        <x:v>2</x:v>
      </x:c>
      <x:c r="K67" s="22" t="n">
        <x:v>2</x:v>
      </x:c>
      <x:c r="L67" s="22" t="n">
        <x:v>2</x:v>
      </x:c>
      <x:c r="M67" s="22" t="n">
        <x:v>2</x:v>
      </x:c>
      <x:c r="N67" s="22" t="n">
        <x:v>2</x:v>
      </x:c>
      <x:c r="O67" s="22" t="n">
        <x:v>2</x:v>
      </x:c>
      <x:c r="P67" s="22" t="n">
        <x:v>2</x:v>
      </x:c>
      <x:c r="Q67" s="22" t="n">
        <x:v>2</x:v>
      </x:c>
      <x:c r="R67" s="22" t="n">
        <x:v>2</x:v>
      </x:c>
      <x:c r="S67" s="22" t="n">
        <x:v>2</x:v>
      </x:c>
      <x:c r="T67" s="22" t="n">
        <x:v>2</x:v>
      </x:c>
      <x:c r="U67" s="22" t="n">
        <x:v>2</x:v>
      </x:c>
      <x:c r="V67" s="22" t="n">
        <x:v>2</x:v>
      </x:c>
      <x:c r="W67" s="22" t="n">
        <x:v>2</x:v>
      </x:c>
      <x:c r="X67" s="22" t="n">
        <x:v>2</x:v>
      </x:c>
      <x:c r="Y67" s="22" t="n">
        <x:v>2</x:v>
      </x:c>
      <x:c r="Z67" s="22" t="n">
        <x:v>2</x:v>
      </x:c>
      <x:c r="AA67" s="22" t="n">
        <x:v>2</x:v>
      </x:c>
      <x:c r="AB67" s="22" t="n">
        <x:v>2</x:v>
      </x:c>
      <x:c r="AC67" s="22" t="n">
        <x:v>2</x:v>
      </x:c>
    </x:row>
    <x:row r="68" ht="23" customHeight="1">
      <x:c r="A68" s="2"/>
      <x:c r="B68" s="2"/>
      <x:c r="C68" s="18" t="str">
        <x:v>每店每月客服工時</x:v>
      </x:c>
      <x:c r="D68" s="18" t="str">
        <x:v>小時</x:v>
      </x:c>
      <x:c r="E68" s="18" t="str">
        <x:v>目前採用</x:v>
      </x:c>
      <x:c r="F68" s="23" t="n">
        <x:f>IF(OR($F$4=1,$F$4=2,$F$4=3),IF(ISNUMBER(INDEX(F69:F71,$F$4)),INDEX(F69:F71,$F$4),NA()),NA())</x:f>
        <x:v>0.75</x:v>
      </x:c>
      <x:c r="G68" s="23" t="n">
        <x:f>IF(OR($F$4=1,$F$4=2,$F$4=3),IF(ISNUMBER(INDEX(G69:G71,$F$4)),INDEX(G69:G71,$F$4),NA()),NA())</x:f>
        <x:v>0.75</x:v>
      </x:c>
      <x:c r="H68" s="23" t="n">
        <x:f>IF(OR($F$4=1,$F$4=2,$F$4=3),IF(ISNUMBER(INDEX(H69:H71,$F$4)),INDEX(H69:H71,$F$4),NA()),NA())</x:f>
        <x:v>0.75</x:v>
      </x:c>
      <x:c r="I68" s="23" t="n">
        <x:f>IF(OR($F$4=1,$F$4=2,$F$4=3),IF(ISNUMBER(INDEX(I69:I71,$F$4)),INDEX(I69:I71,$F$4),NA()),NA())</x:f>
        <x:v>0.75</x:v>
      </x:c>
      <x:c r="J68" s="23" t="n">
        <x:f>IF(OR($F$4=1,$F$4=2,$F$4=3),IF(ISNUMBER(INDEX(J69:J71,$F$4)),INDEX(J69:J71,$F$4),NA()),NA())</x:f>
        <x:v>0.75</x:v>
      </x:c>
      <x:c r="K68" s="23" t="n">
        <x:f>IF(OR($F$4=1,$F$4=2,$F$4=3),IF(ISNUMBER(INDEX(K69:K71,$F$4)),INDEX(K69:K71,$F$4),NA()),NA())</x:f>
        <x:v>0.75</x:v>
      </x:c>
      <x:c r="L68" s="23" t="n">
        <x:f>IF(OR($F$4=1,$F$4=2,$F$4=3),IF(ISNUMBER(INDEX(L69:L71,$F$4)),INDEX(L69:L71,$F$4),NA()),NA())</x:f>
        <x:v>0.75</x:v>
      </x:c>
      <x:c r="M68" s="23" t="n">
        <x:f>IF(OR($F$4=1,$F$4=2,$F$4=3),IF(ISNUMBER(INDEX(M69:M71,$F$4)),INDEX(M69:M71,$F$4),NA()),NA())</x:f>
        <x:v>0.75</x:v>
      </x:c>
      <x:c r="N68" s="23" t="n">
        <x:f>IF(OR($F$4=1,$F$4=2,$F$4=3),IF(ISNUMBER(INDEX(N69:N71,$F$4)),INDEX(N69:N71,$F$4),NA()),NA())</x:f>
        <x:v>0.75</x:v>
      </x:c>
      <x:c r="O68" s="23" t="n">
        <x:f>IF(OR($F$4=1,$F$4=2,$F$4=3),IF(ISNUMBER(INDEX(O69:O71,$F$4)),INDEX(O69:O71,$F$4),NA()),NA())</x:f>
        <x:v>0.75</x:v>
      </x:c>
      <x:c r="P68" s="23" t="n">
        <x:f>IF(OR($F$4=1,$F$4=2,$F$4=3),IF(ISNUMBER(INDEX(P69:P71,$F$4)),INDEX(P69:P71,$F$4),NA()),NA())</x:f>
        <x:v>0.75</x:v>
      </x:c>
      <x:c r="Q68" s="23" t="n">
        <x:f>IF(OR($F$4=1,$F$4=2,$F$4=3),IF(ISNUMBER(INDEX(Q69:Q71,$F$4)),INDEX(Q69:Q71,$F$4),NA()),NA())</x:f>
        <x:v>0.75</x:v>
      </x:c>
      <x:c r="R68" s="23" t="n">
        <x:f>IF(OR($F$4=1,$F$4=2,$F$4=3),IF(ISNUMBER(INDEX(R69:R71,$F$4)),INDEX(R69:R71,$F$4),NA()),NA())</x:f>
        <x:v>0.75</x:v>
      </x:c>
      <x:c r="S68" s="23" t="n">
        <x:f>IF(OR($F$4=1,$F$4=2,$F$4=3),IF(ISNUMBER(INDEX(S69:S71,$F$4)),INDEX(S69:S71,$F$4),NA()),NA())</x:f>
        <x:v>0.75</x:v>
      </x:c>
      <x:c r="T68" s="23" t="n">
        <x:f>IF(OR($F$4=1,$F$4=2,$F$4=3),IF(ISNUMBER(INDEX(T69:T71,$F$4)),INDEX(T69:T71,$F$4),NA()),NA())</x:f>
        <x:v>0.75</x:v>
      </x:c>
      <x:c r="U68" s="23" t="n">
        <x:f>IF(OR($F$4=1,$F$4=2,$F$4=3),IF(ISNUMBER(INDEX(U69:U71,$F$4)),INDEX(U69:U71,$F$4),NA()),NA())</x:f>
        <x:v>0.75</x:v>
      </x:c>
      <x:c r="V68" s="23" t="n">
        <x:f>IF(OR($F$4=1,$F$4=2,$F$4=3),IF(ISNUMBER(INDEX(V69:V71,$F$4)),INDEX(V69:V71,$F$4),NA()),NA())</x:f>
        <x:v>0.75</x:v>
      </x:c>
      <x:c r="W68" s="23" t="n">
        <x:f>IF(OR($F$4=1,$F$4=2,$F$4=3),IF(ISNUMBER(INDEX(W69:W71,$F$4)),INDEX(W69:W71,$F$4),NA()),NA())</x:f>
        <x:v>0.75</x:v>
      </x:c>
      <x:c r="X68" s="23" t="n">
        <x:f>IF(OR($F$4=1,$F$4=2,$F$4=3),IF(ISNUMBER(INDEX(X69:X71,$F$4)),INDEX(X69:X71,$F$4),NA()),NA())</x:f>
        <x:v>0.75</x:v>
      </x:c>
      <x:c r="Y68" s="23" t="n">
        <x:f>IF(OR($F$4=1,$F$4=2,$F$4=3),IF(ISNUMBER(INDEX(Y69:Y71,$F$4)),INDEX(Y69:Y71,$F$4),NA()),NA())</x:f>
        <x:v>0.75</x:v>
      </x:c>
      <x:c r="Z68" s="23" t="n">
        <x:f>IF(OR($F$4=1,$F$4=2,$F$4=3),IF(ISNUMBER(INDEX(Z69:Z71,$F$4)),INDEX(Z69:Z71,$F$4),NA()),NA())</x:f>
        <x:v>0.75</x:v>
      </x:c>
      <x:c r="AA68" s="23" t="n">
        <x:f>IF(OR($F$4=1,$F$4=2,$F$4=3),IF(ISNUMBER(INDEX(AA69:AA71,$F$4)),INDEX(AA69:AA71,$F$4),NA()),NA())</x:f>
        <x:v>0.75</x:v>
      </x:c>
      <x:c r="AB68" s="23" t="n">
        <x:f>IF(OR($F$4=1,$F$4=2,$F$4=3),IF(ISNUMBER(INDEX(AB69:AB71,$F$4)),INDEX(AB69:AB71,$F$4),NA()),NA())</x:f>
        <x:v>0.75</x:v>
      </x:c>
      <x:c r="AC68" s="23" t="n">
        <x:f>IF(OR($F$4=1,$F$4=2,$F$4=3),IF(ISNUMBER(INDEX(AC69:AC71,$F$4)),INDEX(AC69:AC71,$F$4),NA()),NA())</x:f>
        <x:v>0.75</x:v>
      </x:c>
    </x:row>
    <x:row r="69" ht="23" customHeight="1">
      <x:c r="A69" s="2"/>
      <x:c r="B69" s="2"/>
      <x:c r="C69" s="2"/>
      <x:c r="D69" s="2"/>
      <x:c r="E69" s="2" t="str">
        <x:v>保守</x:v>
      </x:c>
      <x:c r="F69" s="22" t="n">
        <x:v>1</x:v>
      </x:c>
      <x:c r="G69" s="22" t="n">
        <x:v>1</x:v>
      </x:c>
      <x:c r="H69" s="22" t="n">
        <x:v>1</x:v>
      </x:c>
      <x:c r="I69" s="22" t="n">
        <x:v>1</x:v>
      </x:c>
      <x:c r="J69" s="22" t="n">
        <x:v>1</x:v>
      </x:c>
      <x:c r="K69" s="22" t="n">
        <x:v>1</x:v>
      </x:c>
      <x:c r="L69" s="22" t="n">
        <x:v>1</x:v>
      </x:c>
      <x:c r="M69" s="22" t="n">
        <x:v>1</x:v>
      </x:c>
      <x:c r="N69" s="22" t="n">
        <x:v>1</x:v>
      </x:c>
      <x:c r="O69" s="22" t="n">
        <x:v>1</x:v>
      </x:c>
      <x:c r="P69" s="22" t="n">
        <x:v>1</x:v>
      </x:c>
      <x:c r="Q69" s="22" t="n">
        <x:v>1</x:v>
      </x:c>
      <x:c r="R69" s="22" t="n">
        <x:v>1</x:v>
      </x:c>
      <x:c r="S69" s="22" t="n">
        <x:v>1</x:v>
      </x:c>
      <x:c r="T69" s="22" t="n">
        <x:v>1</x:v>
      </x:c>
      <x:c r="U69" s="22" t="n">
        <x:v>1</x:v>
      </x:c>
      <x:c r="V69" s="22" t="n">
        <x:v>1</x:v>
      </x:c>
      <x:c r="W69" s="22" t="n">
        <x:v>1</x:v>
      </x:c>
      <x:c r="X69" s="22" t="n">
        <x:v>1</x:v>
      </x:c>
      <x:c r="Y69" s="22" t="n">
        <x:v>1</x:v>
      </x:c>
      <x:c r="Z69" s="22" t="n">
        <x:v>1</x:v>
      </x:c>
      <x:c r="AA69" s="22" t="n">
        <x:v>1</x:v>
      </x:c>
      <x:c r="AB69" s="22" t="n">
        <x:v>1</x:v>
      </x:c>
      <x:c r="AC69" s="22" t="n">
        <x:v>1</x:v>
      </x:c>
    </x:row>
    <x:row r="70" ht="23" customHeight="1">
      <x:c r="A70" s="2"/>
      <x:c r="B70" s="2"/>
      <x:c r="C70" s="2"/>
      <x:c r="D70" s="2"/>
      <x:c r="E70" s="2" t="str">
        <x:v>基準</x:v>
      </x:c>
      <x:c r="F70" s="22" t="n">
        <x:v>0.75</x:v>
      </x:c>
      <x:c r="G70" s="22" t="n">
        <x:v>0.75</x:v>
      </x:c>
      <x:c r="H70" s="22" t="n">
        <x:v>0.75</x:v>
      </x:c>
      <x:c r="I70" s="22" t="n">
        <x:v>0.75</x:v>
      </x:c>
      <x:c r="J70" s="22" t="n">
        <x:v>0.75</x:v>
      </x:c>
      <x:c r="K70" s="22" t="n">
        <x:v>0.75</x:v>
      </x:c>
      <x:c r="L70" s="22" t="n">
        <x:v>0.75</x:v>
      </x:c>
      <x:c r="M70" s="22" t="n">
        <x:v>0.75</x:v>
      </x:c>
      <x:c r="N70" s="22" t="n">
        <x:v>0.75</x:v>
      </x:c>
      <x:c r="O70" s="22" t="n">
        <x:v>0.75</x:v>
      </x:c>
      <x:c r="P70" s="22" t="n">
        <x:v>0.75</x:v>
      </x:c>
      <x:c r="Q70" s="22" t="n">
        <x:v>0.75</x:v>
      </x:c>
      <x:c r="R70" s="22" t="n">
        <x:v>0.75</x:v>
      </x:c>
      <x:c r="S70" s="22" t="n">
        <x:v>0.75</x:v>
      </x:c>
      <x:c r="T70" s="22" t="n">
        <x:v>0.75</x:v>
      </x:c>
      <x:c r="U70" s="22" t="n">
        <x:v>0.75</x:v>
      </x:c>
      <x:c r="V70" s="22" t="n">
        <x:v>0.75</x:v>
      </x:c>
      <x:c r="W70" s="22" t="n">
        <x:v>0.75</x:v>
      </x:c>
      <x:c r="X70" s="22" t="n">
        <x:v>0.75</x:v>
      </x:c>
      <x:c r="Y70" s="22" t="n">
        <x:v>0.75</x:v>
      </x:c>
      <x:c r="Z70" s="22" t="n">
        <x:v>0.75</x:v>
      </x:c>
      <x:c r="AA70" s="22" t="n">
        <x:v>0.75</x:v>
      </x:c>
      <x:c r="AB70" s="22" t="n">
        <x:v>0.75</x:v>
      </x:c>
      <x:c r="AC70" s="22" t="n">
        <x:v>0.75</x:v>
      </x:c>
    </x:row>
    <x:row r="71" ht="23" customHeight="1">
      <x:c r="A71" s="2"/>
      <x:c r="B71" s="2"/>
      <x:c r="C71" s="2"/>
      <x:c r="D71" s="2"/>
      <x:c r="E71" s="2" t="str">
        <x:v>成長</x:v>
      </x:c>
      <x:c r="F71" s="22" t="n">
        <x:v>0.35</x:v>
      </x:c>
      <x:c r="G71" s="22" t="n">
        <x:v>0.35</x:v>
      </x:c>
      <x:c r="H71" s="22" t="n">
        <x:v>0.35</x:v>
      </x:c>
      <x:c r="I71" s="22" t="n">
        <x:v>0.35</x:v>
      </x:c>
      <x:c r="J71" s="22" t="n">
        <x:v>0.35</x:v>
      </x:c>
      <x:c r="K71" s="22" t="n">
        <x:v>0.35</x:v>
      </x:c>
      <x:c r="L71" s="22" t="n">
        <x:v>0.35</x:v>
      </x:c>
      <x:c r="M71" s="22" t="n">
        <x:v>0.35</x:v>
      </x:c>
      <x:c r="N71" s="22" t="n">
        <x:v>0.35</x:v>
      </x:c>
      <x:c r="O71" s="22" t="n">
        <x:v>0.35</x:v>
      </x:c>
      <x:c r="P71" s="22" t="n">
        <x:v>0.35</x:v>
      </x:c>
      <x:c r="Q71" s="22" t="n">
        <x:v>0.35</x:v>
      </x:c>
      <x:c r="R71" s="22" t="n">
        <x:v>0.35</x:v>
      </x:c>
      <x:c r="S71" s="22" t="n">
        <x:v>0.35</x:v>
      </x:c>
      <x:c r="T71" s="22" t="n">
        <x:v>0.35</x:v>
      </x:c>
      <x:c r="U71" s="22" t="n">
        <x:v>0.35</x:v>
      </x:c>
      <x:c r="V71" s="22" t="n">
        <x:v>0.35</x:v>
      </x:c>
      <x:c r="W71" s="22" t="n">
        <x:v>0.35</x:v>
      </x:c>
      <x:c r="X71" s="22" t="n">
        <x:v>0.35</x:v>
      </x:c>
      <x:c r="Y71" s="22" t="n">
        <x:v>0.35</x:v>
      </x:c>
      <x:c r="Z71" s="22" t="n">
        <x:v>0.35</x:v>
      </x:c>
      <x:c r="AA71" s="22" t="n">
        <x:v>0.35</x:v>
      </x:c>
      <x:c r="AB71" s="22" t="n">
        <x:v>0.35</x:v>
      </x:c>
      <x:c r="AC71" s="22" t="n">
        <x:v>0.35</x:v>
      </x:c>
    </x:row>
    <x:row r="72" ht="23" customHeight="1">
      <x:c r="A72" s="2"/>
      <x:c r="B72" s="2"/>
      <x:c r="C72" s="18" t="str">
        <x:v>固定開發行政工時</x:v>
      </x:c>
      <x:c r="D72" s="18" t="str">
        <x:v>小時</x:v>
      </x:c>
      <x:c r="E72" s="18" t="str">
        <x:v>目前採用</x:v>
      </x:c>
      <x:c r="F72" s="23" t="n">
        <x:f>IF(OR($F$4=1,$F$4=2,$F$4=3),IF(ISNUMBER(INDEX(F73:F75,$F$4)),INDEX(F73:F75,$F$4),NA()),NA())</x:f>
        <x:v>44</x:v>
      </x:c>
      <x:c r="G72" s="23" t="n">
        <x:f>IF(OR($F$4=1,$F$4=2,$F$4=3),IF(ISNUMBER(INDEX(G73:G75,$F$4)),INDEX(G73:G75,$F$4),NA()),NA())</x:f>
        <x:v>44</x:v>
      </x:c>
      <x:c r="H72" s="23" t="n">
        <x:f>IF(OR($F$4=1,$F$4=2,$F$4=3),IF(ISNUMBER(INDEX(H73:H75,$F$4)),INDEX(H73:H75,$F$4),NA()),NA())</x:f>
        <x:v>44</x:v>
      </x:c>
      <x:c r="I72" s="23" t="n">
        <x:f>IF(OR($F$4=1,$F$4=2,$F$4=3),IF(ISNUMBER(INDEX(I73:I75,$F$4)),INDEX(I73:I75,$F$4),NA()),NA())</x:f>
        <x:v>32</x:v>
      </x:c>
      <x:c r="J72" s="23" t="n">
        <x:f>IF(OR($F$4=1,$F$4=2,$F$4=3),IF(ISNUMBER(INDEX(J73:J75,$F$4)),INDEX(J73:J75,$F$4),NA()),NA())</x:f>
        <x:v>32</x:v>
      </x:c>
      <x:c r="K72" s="23" t="n">
        <x:f>IF(OR($F$4=1,$F$4=2,$F$4=3),IF(ISNUMBER(INDEX(K73:K75,$F$4)),INDEX(K73:K75,$F$4),NA()),NA())</x:f>
        <x:v>32</x:v>
      </x:c>
      <x:c r="L72" s="23" t="n">
        <x:f>IF(OR($F$4=1,$F$4=2,$F$4=3),IF(ISNUMBER(INDEX(L73:L75,$F$4)),INDEX(L73:L75,$F$4),NA()),NA())</x:f>
        <x:v>32</x:v>
      </x:c>
      <x:c r="M72" s="23" t="n">
        <x:f>IF(OR($F$4=1,$F$4=2,$F$4=3),IF(ISNUMBER(INDEX(M73:M75,$F$4)),INDEX(M73:M75,$F$4),NA()),NA())</x:f>
        <x:v>32</x:v>
      </x:c>
      <x:c r="N72" s="23" t="n">
        <x:f>IF(OR($F$4=1,$F$4=2,$F$4=3),IF(ISNUMBER(INDEX(N73:N75,$F$4)),INDEX(N73:N75,$F$4),NA()),NA())</x:f>
        <x:v>32</x:v>
      </x:c>
      <x:c r="O72" s="23" t="n">
        <x:f>IF(OR($F$4=1,$F$4=2,$F$4=3),IF(ISNUMBER(INDEX(O73:O75,$F$4)),INDEX(O73:O75,$F$4),NA()),NA())</x:f>
        <x:v>32</x:v>
      </x:c>
      <x:c r="P72" s="23" t="n">
        <x:f>IF(OR($F$4=1,$F$4=2,$F$4=3),IF(ISNUMBER(INDEX(P73:P75,$F$4)),INDEX(P73:P75,$F$4),NA()),NA())</x:f>
        <x:v>32</x:v>
      </x:c>
      <x:c r="Q72" s="23" t="n">
        <x:f>IF(OR($F$4=1,$F$4=2,$F$4=3),IF(ISNUMBER(INDEX(Q73:Q75,$F$4)),INDEX(Q73:Q75,$F$4),NA()),NA())</x:f>
        <x:v>32</x:v>
      </x:c>
      <x:c r="R72" s="23" t="n">
        <x:f>IF(OR($F$4=1,$F$4=2,$F$4=3),IF(ISNUMBER(INDEX(R73:R75,$F$4)),INDEX(R73:R75,$F$4),NA()),NA())</x:f>
        <x:v>32</x:v>
      </x:c>
      <x:c r="S72" s="23" t="n">
        <x:f>IF(OR($F$4=1,$F$4=2,$F$4=3),IF(ISNUMBER(INDEX(S73:S75,$F$4)),INDEX(S73:S75,$F$4),NA()),NA())</x:f>
        <x:v>32</x:v>
      </x:c>
      <x:c r="T72" s="23" t="n">
        <x:f>IF(OR($F$4=1,$F$4=2,$F$4=3),IF(ISNUMBER(INDEX(T73:T75,$F$4)),INDEX(T73:T75,$F$4),NA()),NA())</x:f>
        <x:v>32</x:v>
      </x:c>
      <x:c r="U72" s="23" t="n">
        <x:f>IF(OR($F$4=1,$F$4=2,$F$4=3),IF(ISNUMBER(INDEX(U73:U75,$F$4)),INDEX(U73:U75,$F$4),NA()),NA())</x:f>
        <x:v>32</x:v>
      </x:c>
      <x:c r="V72" s="23" t="n">
        <x:f>IF(OR($F$4=1,$F$4=2,$F$4=3),IF(ISNUMBER(INDEX(V73:V75,$F$4)),INDEX(V73:V75,$F$4),NA()),NA())</x:f>
        <x:v>32</x:v>
      </x:c>
      <x:c r="W72" s="23" t="n">
        <x:f>IF(OR($F$4=1,$F$4=2,$F$4=3),IF(ISNUMBER(INDEX(W73:W75,$F$4)),INDEX(W73:W75,$F$4),NA()),NA())</x:f>
        <x:v>32</x:v>
      </x:c>
      <x:c r="X72" s="23" t="n">
        <x:f>IF(OR($F$4=1,$F$4=2,$F$4=3),IF(ISNUMBER(INDEX(X73:X75,$F$4)),INDEX(X73:X75,$F$4),NA()),NA())</x:f>
        <x:v>32</x:v>
      </x:c>
      <x:c r="Y72" s="23" t="n">
        <x:f>IF(OR($F$4=1,$F$4=2,$F$4=3),IF(ISNUMBER(INDEX(Y73:Y75,$F$4)),INDEX(Y73:Y75,$F$4),NA()),NA())</x:f>
        <x:v>32</x:v>
      </x:c>
      <x:c r="Z72" s="23" t="n">
        <x:f>IF(OR($F$4=1,$F$4=2,$F$4=3),IF(ISNUMBER(INDEX(Z73:Z75,$F$4)),INDEX(Z73:Z75,$F$4),NA()),NA())</x:f>
        <x:v>32</x:v>
      </x:c>
      <x:c r="AA72" s="23" t="n">
        <x:f>IF(OR($F$4=1,$F$4=2,$F$4=3),IF(ISNUMBER(INDEX(AA73:AA75,$F$4)),INDEX(AA73:AA75,$F$4),NA()),NA())</x:f>
        <x:v>32</x:v>
      </x:c>
      <x:c r="AB72" s="23" t="n">
        <x:f>IF(OR($F$4=1,$F$4=2,$F$4=3),IF(ISNUMBER(INDEX(AB73:AB75,$F$4)),INDEX(AB73:AB75,$F$4),NA()),NA())</x:f>
        <x:v>32</x:v>
      </x:c>
      <x:c r="AC72" s="23" t="n">
        <x:f>IF(OR($F$4=1,$F$4=2,$F$4=3),IF(ISNUMBER(INDEX(AC73:AC75,$F$4)),INDEX(AC73:AC75,$F$4),NA()),NA())</x:f>
        <x:v>32</x:v>
      </x:c>
    </x:row>
    <x:row r="73" ht="23" customHeight="1">
      <x:c r="A73" s="2"/>
      <x:c r="B73" s="2"/>
      <x:c r="C73" s="2"/>
      <x:c r="D73" s="2"/>
      <x:c r="E73" s="2" t="str">
        <x:v>保守</x:v>
      </x:c>
      <x:c r="F73" s="22" t="n">
        <x:v>44</x:v>
      </x:c>
      <x:c r="G73" s="22" t="n">
        <x:v>44</x:v>
      </x:c>
      <x:c r="H73" s="22" t="n">
        <x:v>44</x:v>
      </x:c>
      <x:c r="I73" s="22" t="n">
        <x:v>32</x:v>
      </x:c>
      <x:c r="J73" s="22" t="n">
        <x:v>32</x:v>
      </x:c>
      <x:c r="K73" s="22" t="n">
        <x:v>32</x:v>
      </x:c>
      <x:c r="L73" s="22" t="n">
        <x:v>32</x:v>
      </x:c>
      <x:c r="M73" s="22" t="n">
        <x:v>32</x:v>
      </x:c>
      <x:c r="N73" s="22" t="n">
        <x:v>32</x:v>
      </x:c>
      <x:c r="O73" s="22" t="n">
        <x:v>32</x:v>
      </x:c>
      <x:c r="P73" s="22" t="n">
        <x:v>32</x:v>
      </x:c>
      <x:c r="Q73" s="22" t="n">
        <x:v>32</x:v>
      </x:c>
      <x:c r="R73" s="22" t="n">
        <x:v>32</x:v>
      </x:c>
      <x:c r="S73" s="22" t="n">
        <x:v>32</x:v>
      </x:c>
      <x:c r="T73" s="22" t="n">
        <x:v>32</x:v>
      </x:c>
      <x:c r="U73" s="22" t="n">
        <x:v>32</x:v>
      </x:c>
      <x:c r="V73" s="22" t="n">
        <x:v>32</x:v>
      </x:c>
      <x:c r="W73" s="22" t="n">
        <x:v>32</x:v>
      </x:c>
      <x:c r="X73" s="22" t="n">
        <x:v>32</x:v>
      </x:c>
      <x:c r="Y73" s="22" t="n">
        <x:v>32</x:v>
      </x:c>
      <x:c r="Z73" s="22" t="n">
        <x:v>32</x:v>
      </x:c>
      <x:c r="AA73" s="22" t="n">
        <x:v>32</x:v>
      </x:c>
      <x:c r="AB73" s="22" t="n">
        <x:v>32</x:v>
      </x:c>
      <x:c r="AC73" s="22" t="n">
        <x:v>32</x:v>
      </x:c>
    </x:row>
    <x:row r="74" ht="23" customHeight="1">
      <x:c r="A74" s="2"/>
      <x:c r="B74" s="2"/>
      <x:c r="C74" s="2"/>
      <x:c r="D74" s="2"/>
      <x:c r="E74" s="2" t="str">
        <x:v>基準</x:v>
      </x:c>
      <x:c r="F74" s="22" t="n">
        <x:v>44</x:v>
      </x:c>
      <x:c r="G74" s="22" t="n">
        <x:v>44</x:v>
      </x:c>
      <x:c r="H74" s="22" t="n">
        <x:v>44</x:v>
      </x:c>
      <x:c r="I74" s="22" t="n">
        <x:v>32</x:v>
      </x:c>
      <x:c r="J74" s="22" t="n">
        <x:v>32</x:v>
      </x:c>
      <x:c r="K74" s="22" t="n">
        <x:v>32</x:v>
      </x:c>
      <x:c r="L74" s="22" t="n">
        <x:v>32</x:v>
      </x:c>
      <x:c r="M74" s="22" t="n">
        <x:v>32</x:v>
      </x:c>
      <x:c r="N74" s="22" t="n">
        <x:v>32</x:v>
      </x:c>
      <x:c r="O74" s="22" t="n">
        <x:v>32</x:v>
      </x:c>
      <x:c r="P74" s="22" t="n">
        <x:v>32</x:v>
      </x:c>
      <x:c r="Q74" s="22" t="n">
        <x:v>32</x:v>
      </x:c>
      <x:c r="R74" s="22" t="n">
        <x:v>32</x:v>
      </x:c>
      <x:c r="S74" s="22" t="n">
        <x:v>32</x:v>
      </x:c>
      <x:c r="T74" s="22" t="n">
        <x:v>32</x:v>
      </x:c>
      <x:c r="U74" s="22" t="n">
        <x:v>32</x:v>
      </x:c>
      <x:c r="V74" s="22" t="n">
        <x:v>32</x:v>
      </x:c>
      <x:c r="W74" s="22" t="n">
        <x:v>32</x:v>
      </x:c>
      <x:c r="X74" s="22" t="n">
        <x:v>32</x:v>
      </x:c>
      <x:c r="Y74" s="22" t="n">
        <x:v>32</x:v>
      </x:c>
      <x:c r="Z74" s="22" t="n">
        <x:v>32</x:v>
      </x:c>
      <x:c r="AA74" s="22" t="n">
        <x:v>32</x:v>
      </x:c>
      <x:c r="AB74" s="22" t="n">
        <x:v>32</x:v>
      </x:c>
      <x:c r="AC74" s="22" t="n">
        <x:v>32</x:v>
      </x:c>
    </x:row>
    <x:row r="75" ht="23" customHeight="1">
      <x:c r="A75" s="2"/>
      <x:c r="B75" s="2"/>
      <x:c r="C75" s="2"/>
      <x:c r="D75" s="2"/>
      <x:c r="E75" s="2" t="str">
        <x:v>成長</x:v>
      </x:c>
      <x:c r="F75" s="22" t="n">
        <x:v>44</x:v>
      </x:c>
      <x:c r="G75" s="22" t="n">
        <x:v>44</x:v>
      </x:c>
      <x:c r="H75" s="22" t="n">
        <x:v>44</x:v>
      </x:c>
      <x:c r="I75" s="22" t="n">
        <x:v>32</x:v>
      </x:c>
      <x:c r="J75" s="22" t="n">
        <x:v>32</x:v>
      </x:c>
      <x:c r="K75" s="22" t="n">
        <x:v>32</x:v>
      </x:c>
      <x:c r="L75" s="22" t="n">
        <x:v>32</x:v>
      </x:c>
      <x:c r="M75" s="22" t="n">
        <x:v>32</x:v>
      </x:c>
      <x:c r="N75" s="22" t="n">
        <x:v>32</x:v>
      </x:c>
      <x:c r="O75" s="22" t="n">
        <x:v>32</x:v>
      </x:c>
      <x:c r="P75" s="22" t="n">
        <x:v>32</x:v>
      </x:c>
      <x:c r="Q75" s="22" t="n">
        <x:v>32</x:v>
      </x:c>
      <x:c r="R75" s="22" t="n">
        <x:v>32</x:v>
      </x:c>
      <x:c r="S75" s="22" t="n">
        <x:v>32</x:v>
      </x:c>
      <x:c r="T75" s="22" t="n">
        <x:v>32</x:v>
      </x:c>
      <x:c r="U75" s="22" t="n">
        <x:v>32</x:v>
      </x:c>
      <x:c r="V75" s="22" t="n">
        <x:v>32</x:v>
      </x:c>
      <x:c r="W75" s="22" t="n">
        <x:v>32</x:v>
      </x:c>
      <x:c r="X75" s="22" t="n">
        <x:v>32</x:v>
      </x:c>
      <x:c r="Y75" s="22" t="n">
        <x:v>32</x:v>
      </x:c>
      <x:c r="Z75" s="22" t="n">
        <x:v>32</x:v>
      </x:c>
      <x:c r="AA75" s="22" t="n">
        <x:v>32</x:v>
      </x:c>
      <x:c r="AB75" s="22" t="n">
        <x:v>32</x:v>
      </x:c>
      <x:c r="AC75" s="22" t="n">
        <x:v>32</x:v>
      </x:c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 ht="23" customHeight="1">
      <x:c r="A78" s="2"/>
      <x:c r="B78" s="2"/>
      <x:c r="C78" s="24" t="str">
        <x:v>空白的已選情境輸入會顯示缺少輸入錯誤，避免當作零。未選情境空白不影響目前試算。</x:v>
      </x:c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</x:row>
    <x:row r="79" ht="23" customHeight="1">
      <x:c r="A79" s="2"/>
      <x:c r="B79" s="2"/>
      <x:c r="C79" s="24" t="str">
        <x:v>成長情境需同時證實轉介紹、較高售價及較短服務工時，才能用於接單安排。</x:v>
      </x:c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</x:row>
  </x:sheetData>
  <x:dataValidations count="1">
    <x:dataValidation type="list" sqref="F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9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3" customHeight="1">
      <x:c r="A2" s="2"/>
      <x:c r="B2" s="2"/>
      <x:c r="C2" s="3" t="str">
        <x:v>24 個月營運試算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3" customHeight="1">
      <x:c r="A4" s="2"/>
      <x:c r="B4" s="2"/>
      <x:c r="C4" s="2" t="str">
        <x:v>目前情境</x:v>
      </x:c>
      <x:c r="D4" s="2"/>
      <x:c r="E4" s="26" t="str">
        <x:f>'假設'!H4</x:f>
        <x:v>基準</x:v>
      </x:c>
      <x:c r="F4" s="2"/>
      <x:c r="G4" s="2"/>
      <x:c r="H4" s="2" t="str">
        <x:v>期望值模型；月中平均加入／退出，訂閱按半月比例估算。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3" customHeight="1">
      <x:c r="A5" s="2"/>
      <x:c r="B5" s="2"/>
      <x:c r="C5" s="15" t="str">
        <x:v>項目</x:v>
      </x:c>
      <x:c r="D5" s="15" t="str">
        <x:v>單位</x:v>
      </x:c>
      <x:c r="E5" s="15" t="str">
        <x:v>說明</x:v>
      </x:c>
      <x:c r="F5" s="16" t="n">
        <x:f>'假設'!F18</x:f>
        <x:v>46266</x:v>
      </x:c>
      <x:c r="G5" s="16" t="n">
        <x:f>'假設'!G18</x:f>
        <x:v>46296</x:v>
      </x:c>
      <x:c r="H5" s="16" t="n">
        <x:f>'假設'!H18</x:f>
        <x:v>46327</x:v>
      </x:c>
      <x:c r="I5" s="16" t="n">
        <x:f>'假設'!I18</x:f>
        <x:v>46357</x:v>
      </x:c>
      <x:c r="J5" s="16" t="n">
        <x:f>'假設'!J18</x:f>
        <x:v>46388</x:v>
      </x:c>
      <x:c r="K5" s="16" t="n">
        <x:f>'假設'!K18</x:f>
        <x:v>46419</x:v>
      </x:c>
      <x:c r="L5" s="16" t="n">
        <x:f>'假設'!L18</x:f>
        <x:v>46447</x:v>
      </x:c>
      <x:c r="M5" s="16" t="n">
        <x:f>'假設'!M18</x:f>
        <x:v>46478</x:v>
      </x:c>
      <x:c r="N5" s="16" t="n">
        <x:f>'假設'!N18</x:f>
        <x:v>46508</x:v>
      </x:c>
      <x:c r="O5" s="16" t="n">
        <x:f>'假設'!O18</x:f>
        <x:v>46539</x:v>
      </x:c>
      <x:c r="P5" s="16" t="n">
        <x:f>'假設'!P18</x:f>
        <x:v>46569</x:v>
      </x:c>
      <x:c r="Q5" s="16" t="n">
        <x:f>'假設'!Q18</x:f>
        <x:v>46600</x:v>
      </x:c>
      <x:c r="R5" s="16" t="n">
        <x:f>'假設'!R18</x:f>
        <x:v>46631</x:v>
      </x:c>
      <x:c r="S5" s="16" t="n">
        <x:f>'假設'!S18</x:f>
        <x:v>46661</x:v>
      </x:c>
      <x:c r="T5" s="16" t="n">
        <x:f>'假設'!T18</x:f>
        <x:v>46692</x:v>
      </x:c>
      <x:c r="U5" s="16" t="n">
        <x:f>'假設'!U18</x:f>
        <x:v>46722</x:v>
      </x:c>
      <x:c r="V5" s="16" t="n">
        <x:f>'假設'!V18</x:f>
        <x:v>46753</x:v>
      </x:c>
      <x:c r="W5" s="16" t="n">
        <x:f>'假設'!W18</x:f>
        <x:v>46784</x:v>
      </x:c>
      <x:c r="X5" s="16" t="n">
        <x:f>'假設'!X18</x:f>
        <x:v>46813</x:v>
      </x:c>
      <x:c r="Y5" s="16" t="n">
        <x:f>'假設'!Y18</x:f>
        <x:v>46844</x:v>
      </x:c>
      <x:c r="Z5" s="16" t="n">
        <x:f>'假設'!Z18</x:f>
        <x:v>46874</x:v>
      </x:c>
      <x:c r="AA5" s="16" t="n">
        <x:f>'假設'!AA18</x:f>
        <x:v>46905</x:v>
      </x:c>
      <x:c r="AB5" s="16" t="n">
        <x:f>'假設'!AB18</x:f>
        <x:v>46935</x:v>
      </x:c>
      <x:c r="AC5" s="16" t="n">
        <x:f>'假設'!AC18</x:f>
        <x:v>46966</x:v>
      </x:c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 ht="23" customHeight="1">
      <x:c r="A7" s="2"/>
      <x:c r="B7" s="2"/>
      <x:c r="C7" s="2" t="str">
        <x:v>每月有效店主觸達</x:v>
      </x:c>
      <x:c r="D7" s="2" t="str">
        <x:v>位</x:v>
      </x:c>
      <x:c r="E7" s="2"/>
      <x:c r="F7" s="28" t="n">
        <x:f>'假設'!F20</x:f>
        <x:v>16</x:v>
      </x:c>
      <x:c r="G7" s="28" t="n">
        <x:f>'假設'!G20</x:f>
        <x:v>16</x:v>
      </x:c>
      <x:c r="H7" s="28" t="n">
        <x:f>'假設'!H20</x:f>
        <x:v>16</x:v>
      </x:c>
      <x:c r="I7" s="28" t="n">
        <x:f>'假設'!I20</x:f>
        <x:v>16</x:v>
      </x:c>
      <x:c r="J7" s="28" t="n">
        <x:f>'假設'!J20</x:f>
        <x:v>16</x:v>
      </x:c>
      <x:c r="K7" s="28" t="n">
        <x:f>'假設'!K20</x:f>
        <x:v>16</x:v>
      </x:c>
      <x:c r="L7" s="28" t="n">
        <x:f>'假設'!L20</x:f>
        <x:v>16</x:v>
      </x:c>
      <x:c r="M7" s="28" t="n">
        <x:f>'假設'!M20</x:f>
        <x:v>16</x:v>
      </x:c>
      <x:c r="N7" s="28" t="n">
        <x:f>'假設'!N20</x:f>
        <x:v>16</x:v>
      </x:c>
      <x:c r="O7" s="28" t="n">
        <x:f>'假設'!O20</x:f>
        <x:v>16</x:v>
      </x:c>
      <x:c r="P7" s="28" t="n">
        <x:f>'假設'!P20</x:f>
        <x:v>16</x:v>
      </x:c>
      <x:c r="Q7" s="28" t="n">
        <x:f>'假設'!Q20</x:f>
        <x:v>16</x:v>
      </x:c>
      <x:c r="R7" s="28" t="n">
        <x:f>'假設'!R20</x:f>
        <x:v>16</x:v>
      </x:c>
      <x:c r="S7" s="28" t="n">
        <x:f>'假設'!S20</x:f>
        <x:v>16</x:v>
      </x:c>
      <x:c r="T7" s="28" t="n">
        <x:f>'假設'!T20</x:f>
        <x:v>16</x:v>
      </x:c>
      <x:c r="U7" s="28" t="n">
        <x:f>'假設'!U20</x:f>
        <x:v>16</x:v>
      </x:c>
      <x:c r="V7" s="28" t="n">
        <x:f>'假設'!V20</x:f>
        <x:v>16</x:v>
      </x:c>
      <x:c r="W7" s="28" t="n">
        <x:f>'假設'!W20</x:f>
        <x:v>16</x:v>
      </x:c>
      <x:c r="X7" s="28" t="n">
        <x:f>'假設'!X20</x:f>
        <x:v>16</x:v>
      </x:c>
      <x:c r="Y7" s="28" t="n">
        <x:f>'假設'!Y20</x:f>
        <x:v>16</x:v>
      </x:c>
      <x:c r="Z7" s="28" t="n">
        <x:f>'假設'!Z20</x:f>
        <x:v>16</x:v>
      </x:c>
      <x:c r="AA7" s="28" t="n">
        <x:f>'假設'!AA20</x:f>
        <x:v>16</x:v>
      </x:c>
      <x:c r="AB7" s="28" t="n">
        <x:f>'假設'!AB20</x:f>
        <x:v>16</x:v>
      </x:c>
      <x:c r="AC7" s="28" t="n">
        <x:f>'假設'!AC20</x:f>
        <x:v>16</x:v>
      </x:c>
    </x:row>
    <x:row r="8" ht="23" customHeight="1">
      <x:c r="A8" s="2"/>
      <x:c r="B8" s="2"/>
      <x:c r="C8" s="2" t="str">
        <x:v>觸達成為展示</x:v>
      </x:c>
      <x:c r="D8" s="2" t="str">
        <x:v>比率</x:v>
      </x:c>
      <x:c r="E8" s="2"/>
      <x:c r="F8" s="29" t="n">
        <x:f>'假設'!F24</x:f>
        <x:v>0.35</x:v>
      </x:c>
      <x:c r="G8" s="29" t="n">
        <x:f>'假設'!G24</x:f>
        <x:v>0.35</x:v>
      </x:c>
      <x:c r="H8" s="29" t="n">
        <x:f>'假設'!H24</x:f>
        <x:v>0.35</x:v>
      </x:c>
      <x:c r="I8" s="29" t="n">
        <x:f>'假設'!I24</x:f>
        <x:v>0.35</x:v>
      </x:c>
      <x:c r="J8" s="29" t="n">
        <x:f>'假設'!J24</x:f>
        <x:v>0.35</x:v>
      </x:c>
      <x:c r="K8" s="29" t="n">
        <x:f>'假設'!K24</x:f>
        <x:v>0.35</x:v>
      </x:c>
      <x:c r="L8" s="29" t="n">
        <x:f>'假設'!L24</x:f>
        <x:v>0.35</x:v>
      </x:c>
      <x:c r="M8" s="29" t="n">
        <x:f>'假設'!M24</x:f>
        <x:v>0.35</x:v>
      </x:c>
      <x:c r="N8" s="29" t="n">
        <x:f>'假設'!N24</x:f>
        <x:v>0.35</x:v>
      </x:c>
      <x:c r="O8" s="29" t="n">
        <x:f>'假設'!O24</x:f>
        <x:v>0.35</x:v>
      </x:c>
      <x:c r="P8" s="29" t="n">
        <x:f>'假設'!P24</x:f>
        <x:v>0.35</x:v>
      </x:c>
      <x:c r="Q8" s="29" t="n">
        <x:f>'假設'!Q24</x:f>
        <x:v>0.35</x:v>
      </x:c>
      <x:c r="R8" s="29" t="n">
        <x:f>'假設'!R24</x:f>
        <x:v>0.35</x:v>
      </x:c>
      <x:c r="S8" s="29" t="n">
        <x:f>'假設'!S24</x:f>
        <x:v>0.35</x:v>
      </x:c>
      <x:c r="T8" s="29" t="n">
        <x:f>'假設'!T24</x:f>
        <x:v>0.35</x:v>
      </x:c>
      <x:c r="U8" s="29" t="n">
        <x:f>'假設'!U24</x:f>
        <x:v>0.35</x:v>
      </x:c>
      <x:c r="V8" s="29" t="n">
        <x:f>'假設'!V24</x:f>
        <x:v>0.35</x:v>
      </x:c>
      <x:c r="W8" s="29" t="n">
        <x:f>'假設'!W24</x:f>
        <x:v>0.35</x:v>
      </x:c>
      <x:c r="X8" s="29" t="n">
        <x:f>'假設'!X24</x:f>
        <x:v>0.35</x:v>
      </x:c>
      <x:c r="Y8" s="29" t="n">
        <x:f>'假設'!Y24</x:f>
        <x:v>0.35</x:v>
      </x:c>
      <x:c r="Z8" s="29" t="n">
        <x:f>'假設'!Z24</x:f>
        <x:v>0.35</x:v>
      </x:c>
      <x:c r="AA8" s="29" t="n">
        <x:f>'假設'!AA24</x:f>
        <x:v>0.35</x:v>
      </x:c>
      <x:c r="AB8" s="29" t="n">
        <x:f>'假設'!AB24</x:f>
        <x:v>0.35</x:v>
      </x:c>
      <x:c r="AC8" s="29" t="n">
        <x:f>'假設'!AC24</x:f>
        <x:v>0.35</x:v>
      </x:c>
    </x:row>
    <x:row r="9" ht="23" customHeight="1">
      <x:c r="A9" s="2"/>
      <x:c r="B9" s="2"/>
      <x:c r="C9" s="2" t="str">
        <x:v>展示次月成為試用</x:v>
      </x:c>
      <x:c r="D9" s="2" t="str">
        <x:v>比率</x:v>
      </x:c>
      <x:c r="E9" s="2"/>
      <x:c r="F9" s="29" t="n">
        <x:f>'假設'!F28</x:f>
        <x:v>0.6</x:v>
      </x:c>
      <x:c r="G9" s="29" t="n">
        <x:f>'假設'!G28</x:f>
        <x:v>0.6</x:v>
      </x:c>
      <x:c r="H9" s="29" t="n">
        <x:f>'假設'!H28</x:f>
        <x:v>0.6</x:v>
      </x:c>
      <x:c r="I9" s="29" t="n">
        <x:f>'假設'!I28</x:f>
        <x:v>0.6</x:v>
      </x:c>
      <x:c r="J9" s="29" t="n">
        <x:f>'假設'!J28</x:f>
        <x:v>0.6</x:v>
      </x:c>
      <x:c r="K9" s="29" t="n">
        <x:f>'假設'!K28</x:f>
        <x:v>0.6</x:v>
      </x:c>
      <x:c r="L9" s="29" t="n">
        <x:f>'假設'!L28</x:f>
        <x:v>0.6</x:v>
      </x:c>
      <x:c r="M9" s="29" t="n">
        <x:f>'假設'!M28</x:f>
        <x:v>0.6</x:v>
      </x:c>
      <x:c r="N9" s="29" t="n">
        <x:f>'假設'!N28</x:f>
        <x:v>0.6</x:v>
      </x:c>
      <x:c r="O9" s="29" t="n">
        <x:f>'假設'!O28</x:f>
        <x:v>0.6</x:v>
      </x:c>
      <x:c r="P9" s="29" t="n">
        <x:f>'假設'!P28</x:f>
        <x:v>0.6</x:v>
      </x:c>
      <x:c r="Q9" s="29" t="n">
        <x:f>'假設'!Q28</x:f>
        <x:v>0.6</x:v>
      </x:c>
      <x:c r="R9" s="29" t="n">
        <x:f>'假設'!R28</x:f>
        <x:v>0.6</x:v>
      </x:c>
      <x:c r="S9" s="29" t="n">
        <x:f>'假設'!S28</x:f>
        <x:v>0.6</x:v>
      </x:c>
      <x:c r="T9" s="29" t="n">
        <x:f>'假設'!T28</x:f>
        <x:v>0.6</x:v>
      </x:c>
      <x:c r="U9" s="29" t="n">
        <x:f>'假設'!U28</x:f>
        <x:v>0.6</x:v>
      </x:c>
      <x:c r="V9" s="29" t="n">
        <x:f>'假設'!V28</x:f>
        <x:v>0.6</x:v>
      </x:c>
      <x:c r="W9" s="29" t="n">
        <x:f>'假設'!W28</x:f>
        <x:v>0.6</x:v>
      </x:c>
      <x:c r="X9" s="29" t="n">
        <x:f>'假設'!X28</x:f>
        <x:v>0.6</x:v>
      </x:c>
      <x:c r="Y9" s="29" t="n">
        <x:f>'假設'!Y28</x:f>
        <x:v>0.6</x:v>
      </x:c>
      <x:c r="Z9" s="29" t="n">
        <x:f>'假設'!Z28</x:f>
        <x:v>0.6</x:v>
      </x:c>
      <x:c r="AA9" s="29" t="n">
        <x:f>'假設'!AA28</x:f>
        <x:v>0.6</x:v>
      </x:c>
      <x:c r="AB9" s="29" t="n">
        <x:f>'假設'!AB28</x:f>
        <x:v>0.6</x:v>
      </x:c>
      <x:c r="AC9" s="29" t="n">
        <x:f>'假設'!AC28</x:f>
        <x:v>0.6</x:v>
      </x:c>
    </x:row>
    <x:row r="10" ht="23" customHeight="1">
      <x:c r="A10" s="2"/>
      <x:c r="B10" s="2"/>
      <x:c r="C10" s="2" t="str">
        <x:v>試用次月成為付費</x:v>
      </x:c>
      <x:c r="D10" s="2" t="str">
        <x:v>比率</x:v>
      </x:c>
      <x:c r="E10" s="2"/>
      <x:c r="F10" s="29" t="n">
        <x:f>'假設'!F32</x:f>
        <x:v>0.5</x:v>
      </x:c>
      <x:c r="G10" s="29" t="n">
        <x:f>'假設'!G32</x:f>
        <x:v>0.5</x:v>
      </x:c>
      <x:c r="H10" s="29" t="n">
        <x:f>'假設'!H32</x:f>
        <x:v>0.5</x:v>
      </x:c>
      <x:c r="I10" s="29" t="n">
        <x:f>'假設'!I32</x:f>
        <x:v>0.5</x:v>
      </x:c>
      <x:c r="J10" s="29" t="n">
        <x:f>'假設'!J32</x:f>
        <x:v>0.5</x:v>
      </x:c>
      <x:c r="K10" s="29" t="n">
        <x:f>'假設'!K32</x:f>
        <x:v>0.5</x:v>
      </x:c>
      <x:c r="L10" s="29" t="n">
        <x:f>'假設'!L32</x:f>
        <x:v>0.5</x:v>
      </x:c>
      <x:c r="M10" s="29" t="n">
        <x:f>'假設'!M32</x:f>
        <x:v>0.5</x:v>
      </x:c>
      <x:c r="N10" s="29" t="n">
        <x:f>'假設'!N32</x:f>
        <x:v>0.5</x:v>
      </x:c>
      <x:c r="O10" s="29" t="n">
        <x:f>'假設'!O32</x:f>
        <x:v>0.5</x:v>
      </x:c>
      <x:c r="P10" s="29" t="n">
        <x:f>'假設'!P32</x:f>
        <x:v>0.5</x:v>
      </x:c>
      <x:c r="Q10" s="29" t="n">
        <x:f>'假設'!Q32</x:f>
        <x:v>0.5</x:v>
      </x:c>
      <x:c r="R10" s="29" t="n">
        <x:f>'假設'!R32</x:f>
        <x:v>0.5</x:v>
      </x:c>
      <x:c r="S10" s="29" t="n">
        <x:f>'假設'!S32</x:f>
        <x:v>0.5</x:v>
      </x:c>
      <x:c r="T10" s="29" t="n">
        <x:f>'假設'!T32</x:f>
        <x:v>0.5</x:v>
      </x:c>
      <x:c r="U10" s="29" t="n">
        <x:f>'假設'!U32</x:f>
        <x:v>0.5</x:v>
      </x:c>
      <x:c r="V10" s="29" t="n">
        <x:f>'假設'!V32</x:f>
        <x:v>0.5</x:v>
      </x:c>
      <x:c r="W10" s="29" t="n">
        <x:f>'假設'!W32</x:f>
        <x:v>0.5</x:v>
      </x:c>
      <x:c r="X10" s="29" t="n">
        <x:f>'假設'!X32</x:f>
        <x:v>0.5</x:v>
      </x:c>
      <x:c r="Y10" s="29" t="n">
        <x:f>'假設'!Y32</x:f>
        <x:v>0.5</x:v>
      </x:c>
      <x:c r="Z10" s="29" t="n">
        <x:f>'假設'!Z32</x:f>
        <x:v>0.5</x:v>
      </x:c>
      <x:c r="AA10" s="29" t="n">
        <x:f>'假設'!AA32</x:f>
        <x:v>0.5</x:v>
      </x:c>
      <x:c r="AB10" s="29" t="n">
        <x:f>'假設'!AB32</x:f>
        <x:v>0.5</x:v>
      </x:c>
      <x:c r="AC10" s="29" t="n">
        <x:f>'假設'!AC32</x:f>
        <x:v>0.5</x:v>
      </x:c>
    </x:row>
    <x:row r="11" ht="23" customHeight="1">
      <x:c r="A11" s="2"/>
      <x:c r="B11" s="2"/>
      <x:c r="C11" s="2" t="str">
        <x:v>月流失率</x:v>
      </x:c>
      <x:c r="D11" s="2" t="str">
        <x:v>比率</x:v>
      </x:c>
      <x:c r="E11" s="2"/>
      <x:c r="F11" s="29" t="n">
        <x:f>'假設'!F36</x:f>
        <x:v>0.025</x:v>
      </x:c>
      <x:c r="G11" s="29" t="n">
        <x:f>'假設'!G36</x:f>
        <x:v>0.025</x:v>
      </x:c>
      <x:c r="H11" s="29" t="n">
        <x:f>'假設'!H36</x:f>
        <x:v>0.025</x:v>
      </x:c>
      <x:c r="I11" s="29" t="n">
        <x:f>'假設'!I36</x:f>
        <x:v>0.025</x:v>
      </x:c>
      <x:c r="J11" s="29" t="n">
        <x:f>'假設'!J36</x:f>
        <x:v>0.025</x:v>
      </x:c>
      <x:c r="K11" s="29" t="n">
        <x:f>'假設'!K36</x:f>
        <x:v>0.025</x:v>
      </x:c>
      <x:c r="L11" s="29" t="n">
        <x:f>'假設'!L36</x:f>
        <x:v>0.025</x:v>
      </x:c>
      <x:c r="M11" s="29" t="n">
        <x:f>'假設'!M36</x:f>
        <x:v>0.025</x:v>
      </x:c>
      <x:c r="N11" s="29" t="n">
        <x:f>'假設'!N36</x:f>
        <x:v>0.025</x:v>
      </x:c>
      <x:c r="O11" s="29" t="n">
        <x:f>'假設'!O36</x:f>
        <x:v>0.025</x:v>
      </x:c>
      <x:c r="P11" s="29" t="n">
        <x:f>'假設'!P36</x:f>
        <x:v>0.025</x:v>
      </x:c>
      <x:c r="Q11" s="29" t="n">
        <x:f>'假設'!Q36</x:f>
        <x:v>0.025</x:v>
      </x:c>
      <x:c r="R11" s="29" t="n">
        <x:f>'假設'!R36</x:f>
        <x:v>0.025</x:v>
      </x:c>
      <x:c r="S11" s="29" t="n">
        <x:f>'假設'!S36</x:f>
        <x:v>0.025</x:v>
      </x:c>
      <x:c r="T11" s="29" t="n">
        <x:f>'假設'!T36</x:f>
        <x:v>0.025</x:v>
      </x:c>
      <x:c r="U11" s="29" t="n">
        <x:f>'假設'!U36</x:f>
        <x:v>0.025</x:v>
      </x:c>
      <x:c r="V11" s="29" t="n">
        <x:f>'假設'!V36</x:f>
        <x:v>0.025</x:v>
      </x:c>
      <x:c r="W11" s="29" t="n">
        <x:f>'假設'!W36</x:f>
        <x:v>0.025</x:v>
      </x:c>
      <x:c r="X11" s="29" t="n">
        <x:f>'假設'!X36</x:f>
        <x:v>0.025</x:v>
      </x:c>
      <x:c r="Y11" s="29" t="n">
        <x:f>'假設'!Y36</x:f>
        <x:v>0.025</x:v>
      </x:c>
      <x:c r="Z11" s="29" t="n">
        <x:f>'假設'!Z36</x:f>
        <x:v>0.025</x:v>
      </x:c>
      <x:c r="AA11" s="29" t="n">
        <x:f>'假設'!AA36</x:f>
        <x:v>0.025</x:v>
      </x:c>
      <x:c r="AB11" s="29" t="n">
        <x:f>'假設'!AB36</x:f>
        <x:v>0.025</x:v>
      </x:c>
      <x:c r="AC11" s="29" t="n">
        <x:f>'假設'!AC36</x:f>
        <x:v>0.025</x:v>
      </x:c>
    </x:row>
    <x:row r="12" ht="23" customHeight="1">
      <x:c r="A12" s="2"/>
      <x:c r="B12" s="2"/>
      <x:c r="C12" s="2" t="str">
        <x:v>每店月費</x:v>
      </x:c>
      <x:c r="D12" s="2" t="str">
        <x:v>NT$</x:v>
      </x:c>
      <x:c r="E12" s="2"/>
      <x:c r="F12" s="30" t="n">
        <x:f>'假設'!F40</x:f>
        <x:v>1290</x:v>
      </x:c>
      <x:c r="G12" s="30" t="n">
        <x:f>'假設'!G40</x:f>
        <x:v>1290</x:v>
      </x:c>
      <x:c r="H12" s="30" t="n">
        <x:f>'假設'!H40</x:f>
        <x:v>1290</x:v>
      </x:c>
      <x:c r="I12" s="30" t="n">
        <x:f>'假設'!I40</x:f>
        <x:v>1290</x:v>
      </x:c>
      <x:c r="J12" s="30" t="n">
        <x:f>'假設'!J40</x:f>
        <x:v>1290</x:v>
      </x:c>
      <x:c r="K12" s="30" t="n">
        <x:f>'假設'!K40</x:f>
        <x:v>1290</x:v>
      </x:c>
      <x:c r="L12" s="30" t="n">
        <x:f>'假設'!L40</x:f>
        <x:v>1290</x:v>
      </x:c>
      <x:c r="M12" s="30" t="n">
        <x:f>'假設'!M40</x:f>
        <x:v>1290</x:v>
      </x:c>
      <x:c r="N12" s="30" t="n">
        <x:f>'假設'!N40</x:f>
        <x:v>1290</x:v>
      </x:c>
      <x:c r="O12" s="30" t="n">
        <x:f>'假設'!O40</x:f>
        <x:v>1290</x:v>
      </x:c>
      <x:c r="P12" s="30" t="n">
        <x:f>'假設'!P40</x:f>
        <x:v>1290</x:v>
      </x:c>
      <x:c r="Q12" s="30" t="n">
        <x:f>'假設'!Q40</x:f>
        <x:v>1290</x:v>
      </x:c>
      <x:c r="R12" s="30" t="n">
        <x:f>'假設'!R40</x:f>
        <x:v>1290</x:v>
      </x:c>
      <x:c r="S12" s="30" t="n">
        <x:f>'假設'!S40</x:f>
        <x:v>1290</x:v>
      </x:c>
      <x:c r="T12" s="30" t="n">
        <x:f>'假設'!T40</x:f>
        <x:v>1290</x:v>
      </x:c>
      <x:c r="U12" s="30" t="n">
        <x:f>'假設'!U40</x:f>
        <x:v>1290</x:v>
      </x:c>
      <x:c r="V12" s="30" t="n">
        <x:f>'假設'!V40</x:f>
        <x:v>1290</x:v>
      </x:c>
      <x:c r="W12" s="30" t="n">
        <x:f>'假設'!W40</x:f>
        <x:v>1290</x:v>
      </x:c>
      <x:c r="X12" s="30" t="n">
        <x:f>'假設'!X40</x:f>
        <x:v>1290</x:v>
      </x:c>
      <x:c r="Y12" s="30" t="n">
        <x:f>'假設'!Y40</x:f>
        <x:v>1290</x:v>
      </x:c>
      <x:c r="Z12" s="30" t="n">
        <x:f>'假設'!Z40</x:f>
        <x:v>1290</x:v>
      </x:c>
      <x:c r="AA12" s="30" t="n">
        <x:f>'假設'!AA40</x:f>
        <x:v>1290</x:v>
      </x:c>
      <x:c r="AB12" s="30" t="n">
        <x:f>'假設'!AB40</x:f>
        <x:v>1290</x:v>
      </x:c>
      <x:c r="AC12" s="30" t="n">
        <x:f>'假設'!AC40</x:f>
        <x:v>1290</x:v>
      </x:c>
    </x:row>
    <x:row r="13" ht="23" customHeight="1">
      <x:c r="A13" s="2"/>
      <x:c r="B13" s="2"/>
      <x:c r="C13" s="2" t="str">
        <x:v>新店導入費</x:v>
      </x:c>
      <x:c r="D13" s="2" t="str">
        <x:v>NT$</x:v>
      </x:c>
      <x:c r="E13" s="2"/>
      <x:c r="F13" s="30" t="n">
        <x:f>'假設'!F44</x:f>
        <x:v>4900</x:v>
      </x:c>
      <x:c r="G13" s="30" t="n">
        <x:f>'假設'!G44</x:f>
        <x:v>4900</x:v>
      </x:c>
      <x:c r="H13" s="30" t="n">
        <x:f>'假設'!H44</x:f>
        <x:v>4900</x:v>
      </x:c>
      <x:c r="I13" s="30" t="n">
        <x:f>'假設'!I44</x:f>
        <x:v>4900</x:v>
      </x:c>
      <x:c r="J13" s="30" t="n">
        <x:f>'假設'!J44</x:f>
        <x:v>4900</x:v>
      </x:c>
      <x:c r="K13" s="30" t="n">
        <x:f>'假設'!K44</x:f>
        <x:v>4900</x:v>
      </x:c>
      <x:c r="L13" s="30" t="n">
        <x:f>'假設'!L44</x:f>
        <x:v>4900</x:v>
      </x:c>
      <x:c r="M13" s="30" t="n">
        <x:f>'假設'!M44</x:f>
        <x:v>4900</x:v>
      </x:c>
      <x:c r="N13" s="30" t="n">
        <x:f>'假設'!N44</x:f>
        <x:v>4900</x:v>
      </x:c>
      <x:c r="O13" s="30" t="n">
        <x:f>'假設'!O44</x:f>
        <x:v>4900</x:v>
      </x:c>
      <x:c r="P13" s="30" t="n">
        <x:f>'假設'!P44</x:f>
        <x:v>4900</x:v>
      </x:c>
      <x:c r="Q13" s="30" t="n">
        <x:f>'假設'!Q44</x:f>
        <x:v>4900</x:v>
      </x:c>
      <x:c r="R13" s="30" t="n">
        <x:f>'假設'!R44</x:f>
        <x:v>4900</x:v>
      </x:c>
      <x:c r="S13" s="30" t="n">
        <x:f>'假設'!S44</x:f>
        <x:v>4900</x:v>
      </x:c>
      <x:c r="T13" s="30" t="n">
        <x:f>'假設'!T44</x:f>
        <x:v>4900</x:v>
      </x:c>
      <x:c r="U13" s="30" t="n">
        <x:f>'假設'!U44</x:f>
        <x:v>4900</x:v>
      </x:c>
      <x:c r="V13" s="30" t="n">
        <x:f>'假設'!V44</x:f>
        <x:v>4900</x:v>
      </x:c>
      <x:c r="W13" s="30" t="n">
        <x:f>'假設'!W44</x:f>
        <x:v>4900</x:v>
      </x:c>
      <x:c r="X13" s="30" t="n">
        <x:f>'假設'!X44</x:f>
        <x:v>4900</x:v>
      </x:c>
      <x:c r="Y13" s="30" t="n">
        <x:f>'假設'!Y44</x:f>
        <x:v>4900</x:v>
      </x:c>
      <x:c r="Z13" s="30" t="n">
        <x:f>'假設'!Z44</x:f>
        <x:v>4900</x:v>
      </x:c>
      <x:c r="AA13" s="30" t="n">
        <x:f>'假設'!AA44</x:f>
        <x:v>4900</x:v>
      </x:c>
      <x:c r="AB13" s="30" t="n">
        <x:f>'假設'!AB44</x:f>
        <x:v>4900</x:v>
      </x:c>
      <x:c r="AC13" s="30" t="n">
        <x:f>'假設'!AC44</x:f>
        <x:v>4900</x:v>
      </x:c>
    </x:row>
    <x:row r="14" ht="23" customHeight="1">
      <x:c r="A14" s="2"/>
      <x:c r="B14" s="2"/>
      <x:c r="C14" s="2" t="str">
        <x:v>每月獲客現金預算</x:v>
      </x:c>
      <x:c r="D14" s="2" t="str">
        <x:v>NT$</x:v>
      </x:c>
      <x:c r="E14" s="2"/>
      <x:c r="F14" s="30" t="n">
        <x:f>'假設'!F48</x:f>
        <x:v>1500</x:v>
      </x:c>
      <x:c r="G14" s="30" t="n">
        <x:f>'假設'!G48</x:f>
        <x:v>1500</x:v>
      </x:c>
      <x:c r="H14" s="30" t="n">
        <x:f>'假設'!H48</x:f>
        <x:v>1500</x:v>
      </x:c>
      <x:c r="I14" s="30" t="n">
        <x:f>'假設'!I48</x:f>
        <x:v>1500</x:v>
      </x:c>
      <x:c r="J14" s="30" t="n">
        <x:f>'假設'!J48</x:f>
        <x:v>1500</x:v>
      </x:c>
      <x:c r="K14" s="30" t="n">
        <x:f>'假設'!K48</x:f>
        <x:v>1500</x:v>
      </x:c>
      <x:c r="L14" s="30" t="n">
        <x:f>'假設'!L48</x:f>
        <x:v>1500</x:v>
      </x:c>
      <x:c r="M14" s="30" t="n">
        <x:f>'假設'!M48</x:f>
        <x:v>1500</x:v>
      </x:c>
      <x:c r="N14" s="30" t="n">
        <x:f>'假設'!N48</x:f>
        <x:v>1500</x:v>
      </x:c>
      <x:c r="O14" s="30" t="n">
        <x:f>'假設'!O48</x:f>
        <x:v>1500</x:v>
      </x:c>
      <x:c r="P14" s="30" t="n">
        <x:f>'假設'!P48</x:f>
        <x:v>1500</x:v>
      </x:c>
      <x:c r="Q14" s="30" t="n">
        <x:f>'假設'!Q48</x:f>
        <x:v>1500</x:v>
      </x:c>
      <x:c r="R14" s="30" t="n">
        <x:f>'假設'!R48</x:f>
        <x:v>1500</x:v>
      </x:c>
      <x:c r="S14" s="30" t="n">
        <x:f>'假設'!S48</x:f>
        <x:v>1500</x:v>
      </x:c>
      <x:c r="T14" s="30" t="n">
        <x:f>'假設'!T48</x:f>
        <x:v>1500</x:v>
      </x:c>
      <x:c r="U14" s="30" t="n">
        <x:f>'假設'!U48</x:f>
        <x:v>1500</x:v>
      </x:c>
      <x:c r="V14" s="30" t="n">
        <x:f>'假設'!V48</x:f>
        <x:v>1500</x:v>
      </x:c>
      <x:c r="W14" s="30" t="n">
        <x:f>'假設'!W48</x:f>
        <x:v>1500</x:v>
      </x:c>
      <x:c r="X14" s="30" t="n">
        <x:f>'假設'!X48</x:f>
        <x:v>1500</x:v>
      </x:c>
      <x:c r="Y14" s="30" t="n">
        <x:f>'假設'!Y48</x:f>
        <x:v>1500</x:v>
      </x:c>
      <x:c r="Z14" s="30" t="n">
        <x:f>'假設'!Z48</x:f>
        <x:v>1500</x:v>
      </x:c>
      <x:c r="AA14" s="30" t="n">
        <x:f>'假設'!AA48</x:f>
        <x:v>1500</x:v>
      </x:c>
      <x:c r="AB14" s="30" t="n">
        <x:f>'假設'!AB48</x:f>
        <x:v>1500</x:v>
      </x:c>
      <x:c r="AC14" s="30" t="n">
        <x:f>'假設'!AC48</x:f>
        <x:v>1500</x:v>
      </x:c>
    </x:row>
    <x:row r="15" ht="23" customHeight="1">
      <x:c r="A15" s="2"/>
      <x:c r="B15" s="2"/>
      <x:c r="C15" s="2" t="str">
        <x:v>每次有效觸達工時</x:v>
      </x:c>
      <x:c r="D15" s="2" t="str">
        <x:v>小時</x:v>
      </x:c>
      <x:c r="E15" s="2"/>
      <x:c r="F15" s="31" t="n">
        <x:f>'假設'!F52</x:f>
        <x:v>0.5</x:v>
      </x:c>
      <x:c r="G15" s="31" t="n">
        <x:f>'假設'!G52</x:f>
        <x:v>0.5</x:v>
      </x:c>
      <x:c r="H15" s="31" t="n">
        <x:f>'假設'!H52</x:f>
        <x:v>0.5</x:v>
      </x:c>
      <x:c r="I15" s="31" t="n">
        <x:f>'假設'!I52</x:f>
        <x:v>0.5</x:v>
      </x:c>
      <x:c r="J15" s="31" t="n">
        <x:f>'假設'!J52</x:f>
        <x:v>0.5</x:v>
      </x:c>
      <x:c r="K15" s="31" t="n">
        <x:f>'假設'!K52</x:f>
        <x:v>0.5</x:v>
      </x:c>
      <x:c r="L15" s="31" t="n">
        <x:f>'假設'!L52</x:f>
        <x:v>0.5</x:v>
      </x:c>
      <x:c r="M15" s="31" t="n">
        <x:f>'假設'!M52</x:f>
        <x:v>0.5</x:v>
      </x:c>
      <x:c r="N15" s="31" t="n">
        <x:f>'假設'!N52</x:f>
        <x:v>0.5</x:v>
      </x:c>
      <x:c r="O15" s="31" t="n">
        <x:f>'假設'!O52</x:f>
        <x:v>0.5</x:v>
      </x:c>
      <x:c r="P15" s="31" t="n">
        <x:f>'假設'!P52</x:f>
        <x:v>0.5</x:v>
      </x:c>
      <x:c r="Q15" s="31" t="n">
        <x:f>'假設'!Q52</x:f>
        <x:v>0.5</x:v>
      </x:c>
      <x:c r="R15" s="31" t="n">
        <x:f>'假設'!R52</x:f>
        <x:v>0.5</x:v>
      </x:c>
      <x:c r="S15" s="31" t="n">
        <x:f>'假設'!S52</x:f>
        <x:v>0.5</x:v>
      </x:c>
      <x:c r="T15" s="31" t="n">
        <x:f>'假設'!T52</x:f>
        <x:v>0.5</x:v>
      </x:c>
      <x:c r="U15" s="31" t="n">
        <x:f>'假設'!U52</x:f>
        <x:v>0.5</x:v>
      </x:c>
      <x:c r="V15" s="31" t="n">
        <x:f>'假設'!V52</x:f>
        <x:v>0.5</x:v>
      </x:c>
      <x:c r="W15" s="31" t="n">
        <x:f>'假設'!W52</x:f>
        <x:v>0.5</x:v>
      </x:c>
      <x:c r="X15" s="31" t="n">
        <x:f>'假設'!X52</x:f>
        <x:v>0.5</x:v>
      </x:c>
      <x:c r="Y15" s="31" t="n">
        <x:f>'假設'!Y52</x:f>
        <x:v>0.5</x:v>
      </x:c>
      <x:c r="Z15" s="31" t="n">
        <x:f>'假設'!Z52</x:f>
        <x:v>0.5</x:v>
      </x:c>
      <x:c r="AA15" s="31" t="n">
        <x:f>'假設'!AA52</x:f>
        <x:v>0.5</x:v>
      </x:c>
      <x:c r="AB15" s="31" t="n">
        <x:f>'假設'!AB52</x:f>
        <x:v>0.5</x:v>
      </x:c>
      <x:c r="AC15" s="31" t="n">
        <x:f>'假設'!AC52</x:f>
        <x:v>0.5</x:v>
      </x:c>
    </x:row>
    <x:row r="16" ht="23" customHeight="1">
      <x:c r="A16" s="2"/>
      <x:c r="B16" s="2"/>
      <x:c r="C16" s="2" t="str">
        <x:v>每場展示工時</x:v>
      </x:c>
      <x:c r="D16" s="2" t="str">
        <x:v>小時</x:v>
      </x:c>
      <x:c r="E16" s="2"/>
      <x:c r="F16" s="31" t="n">
        <x:f>'假設'!F56</x:f>
        <x:v>1</x:v>
      </x:c>
      <x:c r="G16" s="31" t="n">
        <x:f>'假設'!G56</x:f>
        <x:v>1</x:v>
      </x:c>
      <x:c r="H16" s="31" t="n">
        <x:f>'假設'!H56</x:f>
        <x:v>1</x:v>
      </x:c>
      <x:c r="I16" s="31" t="n">
        <x:f>'假設'!I56</x:f>
        <x:v>1</x:v>
      </x:c>
      <x:c r="J16" s="31" t="n">
        <x:f>'假設'!J56</x:f>
        <x:v>1</x:v>
      </x:c>
      <x:c r="K16" s="31" t="n">
        <x:f>'假設'!K56</x:f>
        <x:v>1</x:v>
      </x:c>
      <x:c r="L16" s="31" t="n">
        <x:f>'假設'!L56</x:f>
        <x:v>1</x:v>
      </x:c>
      <x:c r="M16" s="31" t="n">
        <x:f>'假設'!M56</x:f>
        <x:v>1</x:v>
      </x:c>
      <x:c r="N16" s="31" t="n">
        <x:f>'假設'!N56</x:f>
        <x:v>1</x:v>
      </x:c>
      <x:c r="O16" s="31" t="n">
        <x:f>'假設'!O56</x:f>
        <x:v>1</x:v>
      </x:c>
      <x:c r="P16" s="31" t="n">
        <x:f>'假設'!P56</x:f>
        <x:v>1</x:v>
      </x:c>
      <x:c r="Q16" s="31" t="n">
        <x:f>'假設'!Q56</x:f>
        <x:v>1</x:v>
      </x:c>
      <x:c r="R16" s="31" t="n">
        <x:f>'假設'!R56</x:f>
        <x:v>1</x:v>
      </x:c>
      <x:c r="S16" s="31" t="n">
        <x:f>'假設'!S56</x:f>
        <x:v>1</x:v>
      </x:c>
      <x:c r="T16" s="31" t="n">
        <x:f>'假設'!T56</x:f>
        <x:v>1</x:v>
      </x:c>
      <x:c r="U16" s="31" t="n">
        <x:f>'假設'!U56</x:f>
        <x:v>1</x:v>
      </x:c>
      <x:c r="V16" s="31" t="n">
        <x:f>'假設'!V56</x:f>
        <x:v>1</x:v>
      </x:c>
      <x:c r="W16" s="31" t="n">
        <x:f>'假設'!W56</x:f>
        <x:v>1</x:v>
      </x:c>
      <x:c r="X16" s="31" t="n">
        <x:f>'假設'!X56</x:f>
        <x:v>1</x:v>
      </x:c>
      <x:c r="Y16" s="31" t="n">
        <x:f>'假設'!Y56</x:f>
        <x:v>1</x:v>
      </x:c>
      <x:c r="Z16" s="31" t="n">
        <x:f>'假設'!Z56</x:f>
        <x:v>1</x:v>
      </x:c>
      <x:c r="AA16" s="31" t="n">
        <x:f>'假設'!AA56</x:f>
        <x:v>1</x:v>
      </x:c>
      <x:c r="AB16" s="31" t="n">
        <x:f>'假設'!AB56</x:f>
        <x:v>1</x:v>
      </x:c>
      <x:c r="AC16" s="31" t="n">
        <x:f>'假設'!AC56</x:f>
        <x:v>1</x:v>
      </x:c>
    </x:row>
    <x:row r="17" ht="23" customHeight="1">
      <x:c r="A17" s="2"/>
      <x:c r="B17" s="2"/>
      <x:c r="C17" s="2" t="str">
        <x:v>每家試用支援工時</x:v>
      </x:c>
      <x:c r="D17" s="2" t="str">
        <x:v>小時</x:v>
      </x:c>
      <x:c r="E17" s="2"/>
      <x:c r="F17" s="31" t="n">
        <x:f>'假設'!F60</x:f>
        <x:v>1</x:v>
      </x:c>
      <x:c r="G17" s="31" t="n">
        <x:f>'假設'!G60</x:f>
        <x:v>1</x:v>
      </x:c>
      <x:c r="H17" s="31" t="n">
        <x:f>'假設'!H60</x:f>
        <x:v>1</x:v>
      </x:c>
      <x:c r="I17" s="31" t="n">
        <x:f>'假設'!I60</x:f>
        <x:v>1</x:v>
      </x:c>
      <x:c r="J17" s="31" t="n">
        <x:f>'假設'!J60</x:f>
        <x:v>1</x:v>
      </x:c>
      <x:c r="K17" s="31" t="n">
        <x:f>'假設'!K60</x:f>
        <x:v>1</x:v>
      </x:c>
      <x:c r="L17" s="31" t="n">
        <x:f>'假設'!L60</x:f>
        <x:v>1</x:v>
      </x:c>
      <x:c r="M17" s="31" t="n">
        <x:f>'假設'!M60</x:f>
        <x:v>1</x:v>
      </x:c>
      <x:c r="N17" s="31" t="n">
        <x:f>'假設'!N60</x:f>
        <x:v>1</x:v>
      </x:c>
      <x:c r="O17" s="31" t="n">
        <x:f>'假設'!O60</x:f>
        <x:v>1</x:v>
      </x:c>
      <x:c r="P17" s="31" t="n">
        <x:f>'假設'!P60</x:f>
        <x:v>1</x:v>
      </x:c>
      <x:c r="Q17" s="31" t="n">
        <x:f>'假設'!Q60</x:f>
        <x:v>1</x:v>
      </x:c>
      <x:c r="R17" s="31" t="n">
        <x:f>'假設'!R60</x:f>
        <x:v>1</x:v>
      </x:c>
      <x:c r="S17" s="31" t="n">
        <x:f>'假設'!S60</x:f>
        <x:v>1</x:v>
      </x:c>
      <x:c r="T17" s="31" t="n">
        <x:f>'假設'!T60</x:f>
        <x:v>1</x:v>
      </x:c>
      <x:c r="U17" s="31" t="n">
        <x:f>'假設'!U60</x:f>
        <x:v>1</x:v>
      </x:c>
      <x:c r="V17" s="31" t="n">
        <x:f>'假設'!V60</x:f>
        <x:v>1</x:v>
      </x:c>
      <x:c r="W17" s="31" t="n">
        <x:f>'假設'!W60</x:f>
        <x:v>1</x:v>
      </x:c>
      <x:c r="X17" s="31" t="n">
        <x:f>'假設'!X60</x:f>
        <x:v>1</x:v>
      </x:c>
      <x:c r="Y17" s="31" t="n">
        <x:f>'假設'!Y60</x:f>
        <x:v>1</x:v>
      </x:c>
      <x:c r="Z17" s="31" t="n">
        <x:f>'假設'!Z60</x:f>
        <x:v>1</x:v>
      </x:c>
      <x:c r="AA17" s="31" t="n">
        <x:f>'假設'!AA60</x:f>
        <x:v>1</x:v>
      </x:c>
      <x:c r="AB17" s="31" t="n">
        <x:f>'假設'!AB60</x:f>
        <x:v>1</x:v>
      </x:c>
      <x:c r="AC17" s="31" t="n">
        <x:f>'假設'!AC60</x:f>
        <x:v>1</x:v>
      </x:c>
    </x:row>
    <x:row r="18" ht="23" customHeight="1">
      <x:c r="A18" s="2"/>
      <x:c r="B18" s="2"/>
      <x:c r="C18" s="2" t="str">
        <x:v>每家付費導入工時</x:v>
      </x:c>
      <x:c r="D18" s="2" t="str">
        <x:v>小時</x:v>
      </x:c>
      <x:c r="E18" s="2"/>
      <x:c r="F18" s="31" t="n">
        <x:f>'假設'!F64</x:f>
        <x:v>3</x:v>
      </x:c>
      <x:c r="G18" s="31" t="n">
        <x:f>'假設'!G64</x:f>
        <x:v>3</x:v>
      </x:c>
      <x:c r="H18" s="31" t="n">
        <x:f>'假設'!H64</x:f>
        <x:v>3</x:v>
      </x:c>
      <x:c r="I18" s="31" t="n">
        <x:f>'假設'!I64</x:f>
        <x:v>3</x:v>
      </x:c>
      <x:c r="J18" s="31" t="n">
        <x:f>'假設'!J64</x:f>
        <x:v>3</x:v>
      </x:c>
      <x:c r="K18" s="31" t="n">
        <x:f>'假設'!K64</x:f>
        <x:v>3</x:v>
      </x:c>
      <x:c r="L18" s="31" t="n">
        <x:f>'假設'!L64</x:f>
        <x:v>3</x:v>
      </x:c>
      <x:c r="M18" s="31" t="n">
        <x:f>'假設'!M64</x:f>
        <x:v>3</x:v>
      </x:c>
      <x:c r="N18" s="31" t="n">
        <x:f>'假設'!N64</x:f>
        <x:v>3</x:v>
      </x:c>
      <x:c r="O18" s="31" t="n">
        <x:f>'假設'!O64</x:f>
        <x:v>3</x:v>
      </x:c>
      <x:c r="P18" s="31" t="n">
        <x:f>'假設'!P64</x:f>
        <x:v>3</x:v>
      </x:c>
      <x:c r="Q18" s="31" t="n">
        <x:f>'假設'!Q64</x:f>
        <x:v>3</x:v>
      </x:c>
      <x:c r="R18" s="31" t="n">
        <x:f>'假設'!R64</x:f>
        <x:v>3</x:v>
      </x:c>
      <x:c r="S18" s="31" t="n">
        <x:f>'假設'!S64</x:f>
        <x:v>3</x:v>
      </x:c>
      <x:c r="T18" s="31" t="n">
        <x:f>'假設'!T64</x:f>
        <x:v>3</x:v>
      </x:c>
      <x:c r="U18" s="31" t="n">
        <x:f>'假設'!U64</x:f>
        <x:v>3</x:v>
      </x:c>
      <x:c r="V18" s="31" t="n">
        <x:f>'假設'!V64</x:f>
        <x:v>3</x:v>
      </x:c>
      <x:c r="W18" s="31" t="n">
        <x:f>'假設'!W64</x:f>
        <x:v>3</x:v>
      </x:c>
      <x:c r="X18" s="31" t="n">
        <x:f>'假設'!X64</x:f>
        <x:v>3</x:v>
      </x:c>
      <x:c r="Y18" s="31" t="n">
        <x:f>'假設'!Y64</x:f>
        <x:v>3</x:v>
      </x:c>
      <x:c r="Z18" s="31" t="n">
        <x:f>'假設'!Z64</x:f>
        <x:v>3</x:v>
      </x:c>
      <x:c r="AA18" s="31" t="n">
        <x:f>'假設'!AA64</x:f>
        <x:v>3</x:v>
      </x:c>
      <x:c r="AB18" s="31" t="n">
        <x:f>'假設'!AB64</x:f>
        <x:v>3</x:v>
      </x:c>
      <x:c r="AC18" s="31" t="n">
        <x:f>'假設'!AC64</x:f>
        <x:v>3</x:v>
      </x:c>
    </x:row>
    <x:row r="19" ht="23" customHeight="1">
      <x:c r="A19" s="2"/>
      <x:c r="B19" s="2"/>
      <x:c r="C19" s="2" t="str">
        <x:v>每店每月客服工時</x:v>
      </x:c>
      <x:c r="D19" s="2" t="str">
        <x:v>小時</x:v>
      </x:c>
      <x:c r="E19" s="2"/>
      <x:c r="F19" s="31" t="n">
        <x:f>'假設'!F68</x:f>
        <x:v>0.75</x:v>
      </x:c>
      <x:c r="G19" s="31" t="n">
        <x:f>'假設'!G68</x:f>
        <x:v>0.75</x:v>
      </x:c>
      <x:c r="H19" s="31" t="n">
        <x:f>'假設'!H68</x:f>
        <x:v>0.75</x:v>
      </x:c>
      <x:c r="I19" s="31" t="n">
        <x:f>'假設'!I68</x:f>
        <x:v>0.75</x:v>
      </x:c>
      <x:c r="J19" s="31" t="n">
        <x:f>'假設'!J68</x:f>
        <x:v>0.75</x:v>
      </x:c>
      <x:c r="K19" s="31" t="n">
        <x:f>'假設'!K68</x:f>
        <x:v>0.75</x:v>
      </x:c>
      <x:c r="L19" s="31" t="n">
        <x:f>'假設'!L68</x:f>
        <x:v>0.75</x:v>
      </x:c>
      <x:c r="M19" s="31" t="n">
        <x:f>'假設'!M68</x:f>
        <x:v>0.75</x:v>
      </x:c>
      <x:c r="N19" s="31" t="n">
        <x:f>'假設'!N68</x:f>
        <x:v>0.75</x:v>
      </x:c>
      <x:c r="O19" s="31" t="n">
        <x:f>'假設'!O68</x:f>
        <x:v>0.75</x:v>
      </x:c>
      <x:c r="P19" s="31" t="n">
        <x:f>'假設'!P68</x:f>
        <x:v>0.75</x:v>
      </x:c>
      <x:c r="Q19" s="31" t="n">
        <x:f>'假設'!Q68</x:f>
        <x:v>0.75</x:v>
      </x:c>
      <x:c r="R19" s="31" t="n">
        <x:f>'假設'!R68</x:f>
        <x:v>0.75</x:v>
      </x:c>
      <x:c r="S19" s="31" t="n">
        <x:f>'假設'!S68</x:f>
        <x:v>0.75</x:v>
      </x:c>
      <x:c r="T19" s="31" t="n">
        <x:f>'假設'!T68</x:f>
        <x:v>0.75</x:v>
      </x:c>
      <x:c r="U19" s="31" t="n">
        <x:f>'假設'!U68</x:f>
        <x:v>0.75</x:v>
      </x:c>
      <x:c r="V19" s="31" t="n">
        <x:f>'假設'!V68</x:f>
        <x:v>0.75</x:v>
      </x:c>
      <x:c r="W19" s="31" t="n">
        <x:f>'假設'!W68</x:f>
        <x:v>0.75</x:v>
      </x:c>
      <x:c r="X19" s="31" t="n">
        <x:f>'假設'!X68</x:f>
        <x:v>0.75</x:v>
      </x:c>
      <x:c r="Y19" s="31" t="n">
        <x:f>'假設'!Y68</x:f>
        <x:v>0.75</x:v>
      </x:c>
      <x:c r="Z19" s="31" t="n">
        <x:f>'假設'!Z68</x:f>
        <x:v>0.75</x:v>
      </x:c>
      <x:c r="AA19" s="31" t="n">
        <x:f>'假設'!AA68</x:f>
        <x:v>0.75</x:v>
      </x:c>
      <x:c r="AB19" s="31" t="n">
        <x:f>'假設'!AB68</x:f>
        <x:v>0.75</x:v>
      </x:c>
      <x:c r="AC19" s="31" t="n">
        <x:f>'假設'!AC68</x:f>
        <x:v>0.75</x:v>
      </x:c>
    </x:row>
    <x:row r="20" ht="23" customHeight="1">
      <x:c r="A20" s="2"/>
      <x:c r="B20" s="2"/>
      <x:c r="C20" s="2" t="str">
        <x:v>固定開發行政工時</x:v>
      </x:c>
      <x:c r="D20" s="2" t="str">
        <x:v>小時</x:v>
      </x:c>
      <x:c r="E20" s="2"/>
      <x:c r="F20" s="31" t="n">
        <x:f>'假設'!F72</x:f>
        <x:v>44</x:v>
      </x:c>
      <x:c r="G20" s="31" t="n">
        <x:f>'假設'!G72</x:f>
        <x:v>44</x:v>
      </x:c>
      <x:c r="H20" s="31" t="n">
        <x:f>'假設'!H72</x:f>
        <x:v>44</x:v>
      </x:c>
      <x:c r="I20" s="31" t="n">
        <x:f>'假設'!I72</x:f>
        <x:v>32</x:v>
      </x:c>
      <x:c r="J20" s="31" t="n">
        <x:f>'假設'!J72</x:f>
        <x:v>32</x:v>
      </x:c>
      <x:c r="K20" s="31" t="n">
        <x:f>'假設'!K72</x:f>
        <x:v>32</x:v>
      </x:c>
      <x:c r="L20" s="31" t="n">
        <x:f>'假設'!L72</x:f>
        <x:v>32</x:v>
      </x:c>
      <x:c r="M20" s="31" t="n">
        <x:f>'假設'!M72</x:f>
        <x:v>32</x:v>
      </x:c>
      <x:c r="N20" s="31" t="n">
        <x:f>'假設'!N72</x:f>
        <x:v>32</x:v>
      </x:c>
      <x:c r="O20" s="31" t="n">
        <x:f>'假設'!O72</x:f>
        <x:v>32</x:v>
      </x:c>
      <x:c r="P20" s="31" t="n">
        <x:f>'假設'!P72</x:f>
        <x:v>32</x:v>
      </x:c>
      <x:c r="Q20" s="31" t="n">
        <x:f>'假設'!Q72</x:f>
        <x:v>32</x:v>
      </x:c>
      <x:c r="R20" s="31" t="n">
        <x:f>'假設'!R72</x:f>
        <x:v>32</x:v>
      </x:c>
      <x:c r="S20" s="31" t="n">
        <x:f>'假設'!S72</x:f>
        <x:v>32</x:v>
      </x:c>
      <x:c r="T20" s="31" t="n">
        <x:f>'假設'!T72</x:f>
        <x:v>32</x:v>
      </x:c>
      <x:c r="U20" s="31" t="n">
        <x:f>'假設'!U72</x:f>
        <x:v>32</x:v>
      </x:c>
      <x:c r="V20" s="31" t="n">
        <x:f>'假設'!V72</x:f>
        <x:v>32</x:v>
      </x:c>
      <x:c r="W20" s="31" t="n">
        <x:f>'假設'!W72</x:f>
        <x:v>32</x:v>
      </x:c>
      <x:c r="X20" s="31" t="n">
        <x:f>'假設'!X72</x:f>
        <x:v>32</x:v>
      </x:c>
      <x:c r="Y20" s="31" t="n">
        <x:f>'假設'!Y72</x:f>
        <x:v>32</x:v>
      </x:c>
      <x:c r="Z20" s="31" t="n">
        <x:f>'假設'!Z72</x:f>
        <x:v>32</x:v>
      </x:c>
      <x:c r="AA20" s="31" t="n">
        <x:f>'假設'!AA72</x:f>
        <x:v>32</x:v>
      </x:c>
      <x:c r="AB20" s="31" t="n">
        <x:f>'假設'!AB72</x:f>
        <x:v>32</x:v>
      </x:c>
      <x:c r="AC20" s="31" t="n">
        <x:f>'假設'!AC72</x:f>
        <x:v>32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</x:row>
    <x:row r="22" ht="23" customHeight="1">
      <x:c r="A22" s="2"/>
      <x:c r="B22" s="2"/>
      <x:c r="C22" s="14" t="str">
        <x:v>獲客、流失與服務容量</x:v>
      </x:c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</x:row>
    <x:row r="23" ht="23" customHeight="1">
      <x:c r="A23" s="2"/>
      <x:c r="B23" s="2"/>
      <x:c r="C23" s="2" t="str">
        <x:v>完成展示</x:v>
      </x:c>
      <x:c r="D23" s="2" t="str">
        <x:v>店</x:v>
      </x:c>
      <x:c r="E23" s="2"/>
      <x:c r="F23" s="32" t="n">
        <x:f>F7*F8</x:f>
        <x:v>5.6</x:v>
      </x:c>
      <x:c r="G23" s="32" t="n">
        <x:f>G7*G8</x:f>
        <x:v>5.6</x:v>
      </x:c>
      <x:c r="H23" s="32" t="n">
        <x:f>H7*H8</x:f>
        <x:v>5.6</x:v>
      </x:c>
      <x:c r="I23" s="32" t="n">
        <x:f>I7*I8</x:f>
        <x:v>5.6</x:v>
      </x:c>
      <x:c r="J23" s="32" t="n">
        <x:f>J7*J8</x:f>
        <x:v>5.6</x:v>
      </x:c>
      <x:c r="K23" s="32" t="n">
        <x:f>K7*K8</x:f>
        <x:v>5.6</x:v>
      </x:c>
      <x:c r="L23" s="32" t="n">
        <x:f>L7*L8</x:f>
        <x:v>5.6</x:v>
      </x:c>
      <x:c r="M23" s="32" t="n">
        <x:f>M7*M8</x:f>
        <x:v>5.6</x:v>
      </x:c>
      <x:c r="N23" s="32" t="n">
        <x:f>N7*N8</x:f>
        <x:v>5.6</x:v>
      </x:c>
      <x:c r="O23" s="32" t="n">
        <x:f>O7*O8</x:f>
        <x:v>5.6</x:v>
      </x:c>
      <x:c r="P23" s="32" t="n">
        <x:f>P7*P8</x:f>
        <x:v>5.6</x:v>
      </x:c>
      <x:c r="Q23" s="32" t="n">
        <x:f>Q7*Q8</x:f>
        <x:v>5.6</x:v>
      </x:c>
      <x:c r="R23" s="32" t="n">
        <x:f>R7*R8</x:f>
        <x:v>5.6</x:v>
      </x:c>
      <x:c r="S23" s="32" t="n">
        <x:f>S7*S8</x:f>
        <x:v>5.6</x:v>
      </x:c>
      <x:c r="T23" s="32" t="n">
        <x:f>T7*T8</x:f>
        <x:v>5.6</x:v>
      </x:c>
      <x:c r="U23" s="32" t="n">
        <x:f>U7*U8</x:f>
        <x:v>5.6</x:v>
      </x:c>
      <x:c r="V23" s="32" t="n">
        <x:f>V7*V8</x:f>
        <x:v>5.6</x:v>
      </x:c>
      <x:c r="W23" s="32" t="n">
        <x:f>W7*W8</x:f>
        <x:v>5.6</x:v>
      </x:c>
      <x:c r="X23" s="32" t="n">
        <x:f>X7*X8</x:f>
        <x:v>5.6</x:v>
      </x:c>
      <x:c r="Y23" s="32" t="n">
        <x:f>Y7*Y8</x:f>
        <x:v>5.6</x:v>
      </x:c>
      <x:c r="Z23" s="32" t="n">
        <x:f>Z7*Z8</x:f>
        <x:v>5.6</x:v>
      </x:c>
      <x:c r="AA23" s="32" t="n">
        <x:f>AA7*AA8</x:f>
        <x:v>5.6</x:v>
      </x:c>
      <x:c r="AB23" s="32" t="n">
        <x:f>AB7*AB8</x:f>
        <x:v>5.6</x:v>
      </x:c>
      <x:c r="AC23" s="32" t="n">
        <x:f>AC7*AC8</x:f>
        <x:v>5.6</x:v>
      </x:c>
    </x:row>
    <x:row r="24" ht="23" customHeight="1">
      <x:c r="A24" s="2"/>
      <x:c r="B24" s="2"/>
      <x:c r="C24" s="2" t="str">
        <x:v>啟用試用</x:v>
      </x:c>
      <x:c r="D24" s="2" t="str">
        <x:v>店</x:v>
      </x:c>
      <x:c r="E24" s="2"/>
      <x:c r="F24" s="32" t="n">
        <x:f>0</x:f>
        <x:v>0</x:v>
      </x:c>
      <x:c r="G24" s="32" t="n">
        <x:f>F23*G9</x:f>
        <x:v>3.36</x:v>
      </x:c>
      <x:c r="H24" s="32" t="n">
        <x:f>G23*H9</x:f>
        <x:v>3.36</x:v>
      </x:c>
      <x:c r="I24" s="32" t="n">
        <x:f>H23*I9</x:f>
        <x:v>3.36</x:v>
      </x:c>
      <x:c r="J24" s="32" t="n">
        <x:f>I23*J9</x:f>
        <x:v>3.36</x:v>
      </x:c>
      <x:c r="K24" s="32" t="n">
        <x:f>J23*K9</x:f>
        <x:v>3.36</x:v>
      </x:c>
      <x:c r="L24" s="32" t="n">
        <x:f>K23*L9</x:f>
        <x:v>3.36</x:v>
      </x:c>
      <x:c r="M24" s="32" t="n">
        <x:f>L23*M9</x:f>
        <x:v>3.36</x:v>
      </x:c>
      <x:c r="N24" s="32" t="n">
        <x:f>M23*N9</x:f>
        <x:v>3.36</x:v>
      </x:c>
      <x:c r="O24" s="32" t="n">
        <x:f>N23*O9</x:f>
        <x:v>3.36</x:v>
      </x:c>
      <x:c r="P24" s="32" t="n">
        <x:f>O23*P9</x:f>
        <x:v>3.36</x:v>
      </x:c>
      <x:c r="Q24" s="32" t="n">
        <x:f>P23*Q9</x:f>
        <x:v>3.36</x:v>
      </x:c>
      <x:c r="R24" s="32" t="n">
        <x:f>Q23*R9</x:f>
        <x:v>3.36</x:v>
      </x:c>
      <x:c r="S24" s="32" t="n">
        <x:f>R23*S9</x:f>
        <x:v>3.36</x:v>
      </x:c>
      <x:c r="T24" s="32" t="n">
        <x:f>S23*T9</x:f>
        <x:v>3.36</x:v>
      </x:c>
      <x:c r="U24" s="32" t="n">
        <x:f>T23*U9</x:f>
        <x:v>3.36</x:v>
      </x:c>
      <x:c r="V24" s="32" t="n">
        <x:f>U23*V9</x:f>
        <x:v>3.36</x:v>
      </x:c>
      <x:c r="W24" s="32" t="n">
        <x:f>V23*W9</x:f>
        <x:v>3.36</x:v>
      </x:c>
      <x:c r="X24" s="32" t="n">
        <x:f>W23*X9</x:f>
        <x:v>3.36</x:v>
      </x:c>
      <x:c r="Y24" s="32" t="n">
        <x:f>X23*Y9</x:f>
        <x:v>3.36</x:v>
      </x:c>
      <x:c r="Z24" s="32" t="n">
        <x:f>Y23*Z9</x:f>
        <x:v>3.36</x:v>
      </x:c>
      <x:c r="AA24" s="32" t="n">
        <x:f>Z23*AA9</x:f>
        <x:v>3.36</x:v>
      </x:c>
      <x:c r="AB24" s="32" t="n">
        <x:f>AA23*AB9</x:f>
        <x:v>3.36</x:v>
      </x:c>
      <x:c r="AC24" s="32" t="n">
        <x:f>AB23*AC9</x:f>
        <x:v>3.36</x:v>
      </x:c>
    </x:row>
    <x:row r="25" ht="23" customHeight="1">
      <x:c r="A25" s="2"/>
      <x:c r="B25" s="2"/>
      <x:c r="C25" s="2" t="str">
        <x:v>潛在新增付費</x:v>
      </x:c>
      <x:c r="D25" s="2" t="str">
        <x:v>店</x:v>
      </x:c>
      <x:c r="E25" s="2"/>
      <x:c r="F25" s="32" t="n">
        <x:f>0</x:f>
        <x:v>0</x:v>
      </x:c>
      <x:c r="G25" s="32" t="n">
        <x:f>F24*G10</x:f>
        <x:v>0</x:v>
      </x:c>
      <x:c r="H25" s="32" t="n">
        <x:f>G24*H10</x:f>
        <x:v>1.68</x:v>
      </x:c>
      <x:c r="I25" s="32" t="n">
        <x:f>H24*I10</x:f>
        <x:v>1.68</x:v>
      </x:c>
      <x:c r="J25" s="32" t="n">
        <x:f>I24*J10</x:f>
        <x:v>1.68</x:v>
      </x:c>
      <x:c r="K25" s="32" t="n">
        <x:f>J24*K10</x:f>
        <x:v>1.68</x:v>
      </x:c>
      <x:c r="L25" s="32" t="n">
        <x:f>K24*L10</x:f>
        <x:v>1.68</x:v>
      </x:c>
      <x:c r="M25" s="32" t="n">
        <x:f>L24*M10</x:f>
        <x:v>1.68</x:v>
      </x:c>
      <x:c r="N25" s="32" t="n">
        <x:f>M24*N10</x:f>
        <x:v>1.68</x:v>
      </x:c>
      <x:c r="O25" s="32" t="n">
        <x:f>N24*O10</x:f>
        <x:v>1.68</x:v>
      </x:c>
      <x:c r="P25" s="32" t="n">
        <x:f>O24*P10</x:f>
        <x:v>1.68</x:v>
      </x:c>
      <x:c r="Q25" s="32" t="n">
        <x:f>P24*Q10</x:f>
        <x:v>1.68</x:v>
      </x:c>
      <x:c r="R25" s="32" t="n">
        <x:f>Q24*R10</x:f>
        <x:v>1.68</x:v>
      </x:c>
      <x:c r="S25" s="32" t="n">
        <x:f>R24*S10</x:f>
        <x:v>1.68</x:v>
      </x:c>
      <x:c r="T25" s="32" t="n">
        <x:f>S24*T10</x:f>
        <x:v>1.68</x:v>
      </x:c>
      <x:c r="U25" s="32" t="n">
        <x:f>T24*U10</x:f>
        <x:v>1.68</x:v>
      </x:c>
      <x:c r="V25" s="32" t="n">
        <x:f>U24*V10</x:f>
        <x:v>1.68</x:v>
      </x:c>
      <x:c r="W25" s="32" t="n">
        <x:f>V24*W10</x:f>
        <x:v>1.68</x:v>
      </x:c>
      <x:c r="X25" s="32" t="n">
        <x:f>W24*X10</x:f>
        <x:v>1.68</x:v>
      </x:c>
      <x:c r="Y25" s="32" t="n">
        <x:f>X24*Y10</x:f>
        <x:v>1.68</x:v>
      </x:c>
      <x:c r="Z25" s="32" t="n">
        <x:f>Y24*Z10</x:f>
        <x:v>1.68</x:v>
      </x:c>
      <x:c r="AA25" s="32" t="n">
        <x:f>Z24*AA10</x:f>
        <x:v>1.68</x:v>
      </x:c>
      <x:c r="AB25" s="32" t="n">
        <x:f>AA24*AB10</x:f>
        <x:v>1.68</x:v>
      </x:c>
      <x:c r="AC25" s="32" t="n">
        <x:f>AB24*AC10</x:f>
        <x:v>1.68</x:v>
      </x:c>
    </x:row>
    <x:row r="26" ht="23" customHeight="1">
      <x:c r="A26" s="2"/>
      <x:c r="B26" s="2"/>
      <x:c r="C26" s="2" t="str">
        <x:v>期初付費店</x:v>
      </x:c>
      <x:c r="D26" s="2" t="str">
        <x:v>店</x:v>
      </x:c>
      <x:c r="E26" s="2"/>
      <x:c r="F26" s="32" t="n">
        <x:f>0</x:f>
        <x:v>0</x:v>
      </x:c>
      <x:c r="G26" s="32" t="n">
        <x:f>F34</x:f>
        <x:v>0</x:v>
      </x:c>
      <x:c r="H26" s="32" t="n">
        <x:f>G34</x:f>
        <x:v>0</x:v>
      </x:c>
      <x:c r="I26" s="32" t="n">
        <x:f>H34</x:f>
        <x:v>1.68</x:v>
      </x:c>
      <x:c r="J26" s="32" t="n">
        <x:f>I34</x:f>
        <x:v>3.3179999999999996</x:v>
      </x:c>
      <x:c r="K26" s="32" t="n">
        <x:f>J34</x:f>
        <x:v>4.91505</x:v>
      </x:c>
      <x:c r="L26" s="32" t="n">
        <x:f>K34</x:f>
        <x:v>6.47217375</x:v>
      </x:c>
      <x:c r="M26" s="32" t="n">
        <x:f>L34</x:f>
        <x:v>7.990369406249999</x:v>
      </x:c>
      <x:c r="N26" s="32" t="n">
        <x:f>M34</x:f>
        <x:v>9.47061017109375</x:v>
      </x:c>
      <x:c r="O26" s="32" t="n">
        <x:f>N34</x:f>
        <x:v>10.913844916816405</x:v>
      </x:c>
      <x:c r="P26" s="32" t="n">
        <x:f>O34</x:f>
        <x:v>12.320998793895996</x:v>
      </x:c>
      <x:c r="Q26" s="32" t="n">
        <x:f>P34</x:f>
        <x:v>13.692973824048595</x:v>
      </x:c>
      <x:c r="R26" s="32" t="n">
        <x:f>Q34</x:f>
        <x:v>15.03064947844738</x:v>
      </x:c>
      <x:c r="S26" s="32" t="n">
        <x:f>R34</x:f>
        <x:v>16.334883241486196</x:v>
      </x:c>
      <x:c r="T26" s="32" t="n">
        <x:f>S34</x:f>
        <x:v>17.606511160449042</x:v>
      </x:c>
      <x:c r="U26" s="32" t="n">
        <x:f>T34</x:f>
        <x:v>18.846348381437817</x:v>
      </x:c>
      <x:c r="V26" s="32" t="n">
        <x:f>U34</x:f>
        <x:v>20.05518967190187</x:v>
      </x:c>
      <x:c r="W26" s="32" t="n">
        <x:f>V34</x:f>
        <x:v>21.233809930104325</x:v>
      </x:c>
      <x:c r="X26" s="32" t="n">
        <x:f>W34</x:f>
        <x:v>22.382964681851718</x:v>
      </x:c>
      <x:c r="Y26" s="32" t="n">
        <x:f>X34</x:f>
        <x:v>23.503390564805425</x:v>
      </x:c>
      <x:c r="Z26" s="32" t="n">
        <x:f>Y34</x:f>
        <x:v>24.584783982297434</x:v>
      </x:c>
      <x:c r="AA26" s="32" t="n">
        <x:f>Z34</x:f>
        <x:v>25.401836786624727</x:v>
      </x:c>
      <x:c r="AB26" s="32" t="n">
        <x:f>AA34</x:f>
        <x:v>26.01916557211646</x:v>
      </x:c>
      <x:c r="AC26" s="32" t="n">
        <x:f>AB34</x:f>
        <x:v>26.4855917655991</x:v>
      </x:c>
    </x:row>
    <x:row r="27" ht="23" customHeight="1">
      <x:c r="A27" s="2"/>
      <x:c r="B27" s="2"/>
      <x:c r="C27" s="2" t="str">
        <x:v>本月流失</x:v>
      </x:c>
      <x:c r="D27" s="2" t="str">
        <x:v>店</x:v>
      </x:c>
      <x:c r="E27" s="2"/>
      <x:c r="F27" s="32" t="n">
        <x:f>F26*F11</x:f>
        <x:v>0</x:v>
      </x:c>
      <x:c r="G27" s="32" t="n">
        <x:f>G26*G11</x:f>
        <x:v>0</x:v>
      </x:c>
      <x:c r="H27" s="32" t="n">
        <x:f>H26*H11</x:f>
        <x:v>0</x:v>
      </x:c>
      <x:c r="I27" s="32" t="n">
        <x:f>I26*I11</x:f>
        <x:v>0.042</x:v>
      </x:c>
      <x:c r="J27" s="32" t="n">
        <x:f>J26*J11</x:f>
        <x:v>0.08295</x:v>
      </x:c>
      <x:c r="K27" s="32" t="n">
        <x:f>K26*K11</x:f>
        <x:v>0.12287625</x:v>
      </x:c>
      <x:c r="L27" s="32" t="n">
        <x:f>L26*L11</x:f>
        <x:v>0.16180434375</x:v>
      </x:c>
      <x:c r="M27" s="32" t="n">
        <x:f>M26*M11</x:f>
        <x:v>0.19975923515625</x:v>
      </x:c>
      <x:c r="N27" s="32" t="n">
        <x:f>N26*N11</x:f>
        <x:v>0.23676525427734374</x:v>
      </x:c>
      <x:c r="O27" s="32" t="n">
        <x:f>O26*O11</x:f>
        <x:v>0.27284612292041016</x:v>
      </x:c>
      <x:c r="P27" s="32" t="n">
        <x:f>P26*P11</x:f>
        <x:v>0.3080249698473999</x:v>
      </x:c>
      <x:c r="Q27" s="32" t="n">
        <x:f>Q26*Q11</x:f>
        <x:v>0.3423243456012149</x:v>
      </x:c>
      <x:c r="R27" s="32" t="n">
        <x:f>R26*R11</x:f>
        <x:v>0.3757662369611845</x:v>
      </x:c>
      <x:c r="S27" s="32" t="n">
        <x:f>S26*S11</x:f>
        <x:v>0.40837208103715494</x:v>
      </x:c>
      <x:c r="T27" s="32" t="n">
        <x:f>T26*T11</x:f>
        <x:v>0.4401627790112261</x:v>
      </x:c>
      <x:c r="U27" s="32" t="n">
        <x:f>U26*U11</x:f>
        <x:v>0.47115870953594546</x:v>
      </x:c>
      <x:c r="V27" s="32" t="n">
        <x:f>V26*V11</x:f>
        <x:v>0.5013797417975469</x:v>
      </x:c>
      <x:c r="W27" s="32" t="n">
        <x:f>W26*W11</x:f>
        <x:v>0.5308452482526081</x:v>
      </x:c>
      <x:c r="X27" s="32" t="n">
        <x:f>X26*X11</x:f>
        <x:v>0.559574117046293</x:v>
      </x:c>
      <x:c r="Y27" s="32" t="n">
        <x:f>Y26*Y11</x:f>
        <x:v>0.5875847641201356</x:v>
      </x:c>
      <x:c r="Z27" s="32" t="n">
        <x:f>Z26*Z11</x:f>
        <x:v>0.614619599557436</x:v>
      </x:c>
      <x:c r="AA27" s="32" t="n">
        <x:f>AA26*AA11</x:f>
        <x:v>0.6350459196656182</x:v>
      </x:c>
      <x:c r="AB27" s="32" t="n">
        <x:f>AB26*AB11</x:f>
        <x:v>0.6504791393029116</x:v>
      </x:c>
      <x:c r="AC27" s="32" t="n">
        <x:f>AC26*AC11</x:f>
        <x:v>0.6621397941399776</x:v>
      </x:c>
    </x:row>
    <x:row r="28" ht="23" customHeight="1">
      <x:c r="A28" s="2"/>
      <x:c r="B28" s="2"/>
      <x:c r="C28" s="2" t="str">
        <x:v>既有店平均服務量</x:v>
      </x:c>
      <x:c r="D28" s="2" t="str">
        <x:v>店</x:v>
      </x:c>
      <x:c r="E28" s="2"/>
      <x:c r="F28" s="32" t="n">
        <x:f>F26-F27/2</x:f>
        <x:v>0</x:v>
      </x:c>
      <x:c r="G28" s="32" t="n">
        <x:f>G26-G27/2</x:f>
        <x:v>0</x:v>
      </x:c>
      <x:c r="H28" s="32" t="n">
        <x:f>H26-H27/2</x:f>
        <x:v>0</x:v>
      </x:c>
      <x:c r="I28" s="32" t="n">
        <x:f>I26-I27/2</x:f>
        <x:v>1.659</x:v>
      </x:c>
      <x:c r="J28" s="32" t="n">
        <x:f>J26-J27/2</x:f>
        <x:v>3.2765249999999995</x:v>
      </x:c>
      <x:c r="K28" s="32" t="n">
        <x:f>K26-K27/2</x:f>
        <x:v>4.853611875</x:v>
      </x:c>
      <x:c r="L28" s="32" t="n">
        <x:f>L26-L27/2</x:f>
        <x:v>6.391271578125</x:v>
      </x:c>
      <x:c r="M28" s="32" t="n">
        <x:f>M26-M27/2</x:f>
        <x:v>7.890489788671874</x:v>
      </x:c>
      <x:c r="N28" s="32" t="n">
        <x:f>N26-N27/2</x:f>
        <x:v>9.352227543955077</x:v>
      </x:c>
      <x:c r="O28" s="32" t="n">
        <x:f>O26-O27/2</x:f>
        <x:v>10.7774218553562</x:v>
      </x:c>
      <x:c r="P28" s="32" t="n">
        <x:f>P26-P27/2</x:f>
        <x:v>12.166986308972296</x:v>
      </x:c>
      <x:c r="Q28" s="32" t="n">
        <x:f>Q26-Q27/2</x:f>
        <x:v>13.521811651247987</x:v>
      </x:c>
      <x:c r="R28" s="32" t="n">
        <x:f>R26-R27/2</x:f>
        <x:v>14.842766359966788</x:v>
      </x:c>
      <x:c r="S28" s="32" t="n">
        <x:f>S26-S27/2</x:f>
        <x:v>16.130697200967617</x:v>
      </x:c>
      <x:c r="T28" s="32" t="n">
        <x:f>T26-T27/2</x:f>
        <x:v>17.38642977094343</x:v>
      </x:c>
      <x:c r="U28" s="32" t="n">
        <x:f>U26-U27/2</x:f>
        <x:v>18.610769026669846</x:v>
      </x:c>
      <x:c r="V28" s="32" t="n">
        <x:f>V26-V27/2</x:f>
        <x:v>19.804499801003097</x:v>
      </x:c>
      <x:c r="W28" s="32" t="n">
        <x:f>W26-W27/2</x:f>
        <x:v>20.96838730597802</x:v>
      </x:c>
      <x:c r="X28" s="32" t="n">
        <x:f>X26-X27/2</x:f>
        <x:v>22.10317762332857</x:v>
      </x:c>
      <x:c r="Y28" s="32" t="n">
        <x:f>Y26-Y27/2</x:f>
        <x:v>23.209598182745356</x:v>
      </x:c>
      <x:c r="Z28" s="32" t="n">
        <x:f>Z26-Z27/2</x:f>
        <x:v>24.277474182518716</x:v>
      </x:c>
      <x:c r="AA28" s="32" t="n">
        <x:f>AA26-AA27/2</x:f>
        <x:v>25.08431382679192</x:v>
      </x:c>
      <x:c r="AB28" s="32" t="n">
        <x:f>AB26-AB27/2</x:f>
        <x:v>25.693926002465005</x:v>
      </x:c>
      <x:c r="AC28" s="32" t="n">
        <x:f>AC26-AC27/2</x:f>
        <x:v>26.154521868529113</x:v>
      </x:c>
    </x:row>
    <x:row r="29" ht="23" customHeight="1">
      <x:c r="A29" s="2"/>
      <x:c r="B29" s="2"/>
      <x:c r="C29" s="2" t="str">
        <x:v>觸達與展示工時</x:v>
      </x:c>
      <x:c r="D29" s="2" t="str">
        <x:v>小時</x:v>
      </x:c>
      <x:c r="E29" s="2"/>
      <x:c r="F29" s="32" t="n">
        <x:f>F7*F15+F23*F16</x:f>
        <x:v>13.6</x:v>
      </x:c>
      <x:c r="G29" s="32" t="n">
        <x:f>G7*G15+G23*G16</x:f>
        <x:v>13.6</x:v>
      </x:c>
      <x:c r="H29" s="32" t="n">
        <x:f>H7*H15+H23*H16</x:f>
        <x:v>13.6</x:v>
      </x:c>
      <x:c r="I29" s="32" t="n">
        <x:f>I7*I15+I23*I16</x:f>
        <x:v>13.6</x:v>
      </x:c>
      <x:c r="J29" s="32" t="n">
        <x:f>J7*J15+J23*J16</x:f>
        <x:v>13.6</x:v>
      </x:c>
      <x:c r="K29" s="32" t="n">
        <x:f>K7*K15+K23*K16</x:f>
        <x:v>13.6</x:v>
      </x:c>
      <x:c r="L29" s="32" t="n">
        <x:f>L7*L15+L23*L16</x:f>
        <x:v>13.6</x:v>
      </x:c>
      <x:c r="M29" s="32" t="n">
        <x:f>M7*M15+M23*M16</x:f>
        <x:v>13.6</x:v>
      </x:c>
      <x:c r="N29" s="32" t="n">
        <x:f>N7*N15+N23*N16</x:f>
        <x:v>13.6</x:v>
      </x:c>
      <x:c r="O29" s="32" t="n">
        <x:f>O7*O15+O23*O16</x:f>
        <x:v>13.6</x:v>
      </x:c>
      <x:c r="P29" s="32" t="n">
        <x:f>P7*P15+P23*P16</x:f>
        <x:v>13.6</x:v>
      </x:c>
      <x:c r="Q29" s="32" t="n">
        <x:f>Q7*Q15+Q23*Q16</x:f>
        <x:v>13.6</x:v>
      </x:c>
      <x:c r="R29" s="32" t="n">
        <x:f>R7*R15+R23*R16</x:f>
        <x:v>13.6</x:v>
      </x:c>
      <x:c r="S29" s="32" t="n">
        <x:f>S7*S15+S23*S16</x:f>
        <x:v>13.6</x:v>
      </x:c>
      <x:c r="T29" s="32" t="n">
        <x:f>T7*T15+T23*T16</x:f>
        <x:v>13.6</x:v>
      </x:c>
      <x:c r="U29" s="32" t="n">
        <x:f>U7*U15+U23*U16</x:f>
        <x:v>13.6</x:v>
      </x:c>
      <x:c r="V29" s="32" t="n">
        <x:f>V7*V15+V23*V16</x:f>
        <x:v>13.6</x:v>
      </x:c>
      <x:c r="W29" s="32" t="n">
        <x:f>W7*W15+W23*W16</x:f>
        <x:v>13.6</x:v>
      </x:c>
      <x:c r="X29" s="32" t="n">
        <x:f>X7*X15+X23*X16</x:f>
        <x:v>13.6</x:v>
      </x:c>
      <x:c r="Y29" s="32" t="n">
        <x:f>Y7*Y15+Y23*Y16</x:f>
        <x:v>13.6</x:v>
      </x:c>
      <x:c r="Z29" s="32" t="n">
        <x:f>Z7*Z15+Z23*Z16</x:f>
        <x:v>13.6</x:v>
      </x:c>
      <x:c r="AA29" s="32" t="n">
        <x:f>AA7*AA15+AA23*AA16</x:f>
        <x:v>13.6</x:v>
      </x:c>
      <x:c r="AB29" s="32" t="n">
        <x:f>AB7*AB15+AB23*AB16</x:f>
        <x:v>13.6</x:v>
      </x:c>
      <x:c r="AC29" s="32" t="n">
        <x:f>AC7*AC15+AC23*AC16</x:f>
        <x:v>13.6</x:v>
      </x:c>
    </x:row>
    <x:row r="30" ht="23" customHeight="1">
      <x:c r="A30" s="2"/>
      <x:c r="B30" s="2"/>
      <x:c r="C30" s="2" t="str">
        <x:v>免費試用工時</x:v>
      </x:c>
      <x:c r="D30" s="2" t="str">
        <x:v>小時</x:v>
      </x:c>
      <x:c r="E30" s="2"/>
      <x:c r="F30" s="32" t="n">
        <x:f>F24*F17</x:f>
        <x:v>0</x:v>
      </x:c>
      <x:c r="G30" s="32" t="n">
        <x:f>G24*G17</x:f>
        <x:v>3.36</x:v>
      </x:c>
      <x:c r="H30" s="32" t="n">
        <x:f>H24*H17</x:f>
        <x:v>3.36</x:v>
      </x:c>
      <x:c r="I30" s="32" t="n">
        <x:f>I24*I17</x:f>
        <x:v>3.36</x:v>
      </x:c>
      <x:c r="J30" s="32" t="n">
        <x:f>J24*J17</x:f>
        <x:v>3.36</x:v>
      </x:c>
      <x:c r="K30" s="32" t="n">
        <x:f>K24*K17</x:f>
        <x:v>3.36</x:v>
      </x:c>
      <x:c r="L30" s="32" t="n">
        <x:f>L24*L17</x:f>
        <x:v>3.36</x:v>
      </x:c>
      <x:c r="M30" s="32" t="n">
        <x:f>M24*M17</x:f>
        <x:v>3.36</x:v>
      </x:c>
      <x:c r="N30" s="32" t="n">
        <x:f>N24*N17</x:f>
        <x:v>3.36</x:v>
      </x:c>
      <x:c r="O30" s="32" t="n">
        <x:f>O24*O17</x:f>
        <x:v>3.36</x:v>
      </x:c>
      <x:c r="P30" s="32" t="n">
        <x:f>P24*P17</x:f>
        <x:v>3.36</x:v>
      </x:c>
      <x:c r="Q30" s="32" t="n">
        <x:f>Q24*Q17</x:f>
        <x:v>3.36</x:v>
      </x:c>
      <x:c r="R30" s="32" t="n">
        <x:f>R24*R17</x:f>
        <x:v>3.36</x:v>
      </x:c>
      <x:c r="S30" s="32" t="n">
        <x:f>S24*S17</x:f>
        <x:v>3.36</x:v>
      </x:c>
      <x:c r="T30" s="32" t="n">
        <x:f>T24*T17</x:f>
        <x:v>3.36</x:v>
      </x:c>
      <x:c r="U30" s="32" t="n">
        <x:f>U24*U17</x:f>
        <x:v>3.36</x:v>
      </x:c>
      <x:c r="V30" s="32" t="n">
        <x:f>V24*V17</x:f>
        <x:v>3.36</x:v>
      </x:c>
      <x:c r="W30" s="32" t="n">
        <x:f>W24*W17</x:f>
        <x:v>3.36</x:v>
      </x:c>
      <x:c r="X30" s="32" t="n">
        <x:f>X24*X17</x:f>
        <x:v>3.36</x:v>
      </x:c>
      <x:c r="Y30" s="32" t="n">
        <x:f>Y24*Y17</x:f>
        <x:v>3.36</x:v>
      </x:c>
      <x:c r="Z30" s="32" t="n">
        <x:f>Z24*Z17</x:f>
        <x:v>3.36</x:v>
      </x:c>
      <x:c r="AA30" s="32" t="n">
        <x:f>AA24*AA17</x:f>
        <x:v>3.36</x:v>
      </x:c>
      <x:c r="AB30" s="32" t="n">
        <x:f>AB24*AB17</x:f>
        <x:v>3.36</x:v>
      </x:c>
      <x:c r="AC30" s="32" t="n">
        <x:f>AC24*AC17</x:f>
        <x:v>3.36</x:v>
      </x:c>
    </x:row>
    <x:row r="31" ht="23" customHeight="1">
      <x:c r="A31" s="2"/>
      <x:c r="B31" s="2"/>
      <x:c r="C31" s="2" t="str">
        <x:v>可用導入工時</x:v>
      </x:c>
      <x:c r="D31" s="2" t="str">
        <x:v>小時</x:v>
      </x:c>
      <x:c r="E31" s="2"/>
      <x:c r="F31" s="32" t="n">
        <x:f>MAX(0,'假設'!$F$14-'假設'!$F$15-F20-F29-F30-F28*F19)</x:f>
        <x:v>14.4</x:v>
      </x:c>
      <x:c r="G31" s="32" t="n">
        <x:f>MAX(0,'假設'!$F$14-'假設'!$F$15-G20-G29-G30-G28*G19)</x:f>
        <x:v>11.040000000000001</x:v>
      </x:c>
      <x:c r="H31" s="32" t="n">
        <x:f>MAX(0,'假設'!$F$14-'假設'!$F$15-H20-H29-H30-H28*H19)</x:f>
        <x:v>11.040000000000001</x:v>
      </x:c>
      <x:c r="I31" s="32" t="n">
        <x:f>MAX(0,'假設'!$F$14-'假設'!$F$15-I20-I29-I30-I28*I19)</x:f>
        <x:v>21.795749999999998</x:v>
      </x:c>
      <x:c r="J31" s="32" t="n">
        <x:f>MAX(0,'假設'!$F$14-'假設'!$F$15-J20-J29-J30-J28*J19)</x:f>
        <x:v>20.582606249999998</x:v>
      </x:c>
      <x:c r="K31" s="32" t="n">
        <x:f>MAX(0,'假設'!$F$14-'假設'!$F$15-K20-K29-K30-K28*K19)</x:f>
        <x:v>19.39979109375</x:v>
      </x:c>
      <x:c r="L31" s="32" t="n">
        <x:f>MAX(0,'假設'!$F$14-'假設'!$F$15-L20-L29-L30-L28*L19)</x:f>
        <x:v>18.24654631640625</x:v>
      </x:c>
      <x:c r="M31" s="32" t="n">
        <x:f>MAX(0,'假設'!$F$14-'假設'!$F$15-M20-M29-M30-M28*M19)</x:f>
        <x:v>17.122132658496092</x:v>
      </x:c>
      <x:c r="N31" s="32" t="n">
        <x:f>MAX(0,'假設'!$F$14-'假設'!$F$15-N20-N29-N30-N28*N19)</x:f>
        <x:v>16.025829342033692</x:v>
      </x:c>
      <x:c r="O31" s="32" t="n">
        <x:f>MAX(0,'假設'!$F$14-'假設'!$F$15-O20-O29-O30-O28*O19)</x:f>
        <x:v>14.95693360848285</x:v>
      </x:c>
      <x:c r="P31" s="32" t="n">
        <x:f>MAX(0,'假設'!$F$14-'假設'!$F$15-P20-P29-P30-P28*P19)</x:f>
        <x:v>13.914760268270777</x:v>
      </x:c>
      <x:c r="Q31" s="32" t="n">
        <x:f>MAX(0,'假設'!$F$14-'假設'!$F$15-Q20-Q29-Q30-Q28*Q19)</x:f>
        <x:v>12.89864126156401</x:v>
      </x:c>
      <x:c r="R31" s="32" t="n">
        <x:f>MAX(0,'假設'!$F$14-'假設'!$F$15-R20-R29-R30-R28*R19)</x:f>
        <x:v>11.907925230024908</x:v>
      </x:c>
      <x:c r="S31" s="32" t="n">
        <x:f>MAX(0,'假設'!$F$14-'假設'!$F$15-S20-S29-S30-S28*S19)</x:f>
        <x:v>10.941977099274286</x:v>
      </x:c>
      <x:c r="T31" s="32" t="n">
        <x:f>MAX(0,'假設'!$F$14-'假設'!$F$15-T20-T29-T30-T28*T19)</x:f>
        <x:v>10.000177671792427</x:v>
      </x:c>
      <x:c r="U31" s="32" t="n">
        <x:f>MAX(0,'假設'!$F$14-'假設'!$F$15-U20-U29-U30-U28*U19)</x:f>
        <x:v>9.081923229997614</x:v>
      </x:c>
      <x:c r="V31" s="32" t="n">
        <x:f>MAX(0,'假設'!$F$14-'假設'!$F$15-V20-V29-V30-V28*V19)</x:f>
        <x:v>8.186625149247677</x:v>
      </x:c>
      <x:c r="W31" s="32" t="n">
        <x:f>MAX(0,'假設'!$F$14-'假設'!$F$15-W20-W29-W30-W28*W19)</x:f>
        <x:v>7.313709520516484</x:v>
      </x:c>
      <x:c r="X31" s="32" t="n">
        <x:f>MAX(0,'假設'!$F$14-'假設'!$F$15-X20-X29-X30-X28*X19)</x:f>
        <x:v>6.462616782503574</x:v>
      </x:c>
      <x:c r="Y31" s="32" t="n">
        <x:f>MAX(0,'假設'!$F$14-'假設'!$F$15-Y20-Y29-Y30-Y28*Y19)</x:f>
        <x:v>5.632801362940981</x:v>
      </x:c>
      <x:c r="Z31" s="32" t="n">
        <x:f>MAX(0,'假設'!$F$14-'假設'!$F$15-Z20-Z29-Z30-Z28*Z19)</x:f>
        <x:v>4.831894363110962</x:v>
      </x:c>
      <x:c r="AA31" s="32" t="n">
        <x:f>MAX(0,'假設'!$F$14-'假設'!$F$15-AA20-AA29-AA30-AA28*AA19)</x:f>
        <x:v>4.226764629906057</x:v>
      </x:c>
      <x:c r="AB31" s="32" t="n">
        <x:f>MAX(0,'假設'!$F$14-'假設'!$F$15-AB20-AB29-AB30-AB28*AB19)</x:f>
        <x:v>3.769555498151245</x:v>
      </x:c>
      <x:c r="AC31" s="32" t="n">
        <x:f>MAX(0,'假設'!$F$14-'假設'!$F$15-AC20-AC29-AC30-AC28*AC19)</x:f>
        <x:v>3.4241085986031656</x:v>
      </x:c>
    </x:row>
    <x:row r="32" ht="23" customHeight="1">
      <x:c r="A32" s="2"/>
      <x:c r="B32" s="2"/>
      <x:c r="C32" s="2" t="str">
        <x:v>容量內新增付費</x:v>
      </x:c>
      <x:c r="D32" s="2" t="str">
        <x:v>店</x:v>
      </x:c>
      <x:c r="E32" s="2"/>
      <x:c r="F32" s="32" t="n">
        <x:f>IF(1&lt;'假設'!$F$16,0,IF(F18+F19/2=0,F25,MIN(F25,F31/(F18+F19/2))))</x:f>
        <x:v>0</x:v>
      </x:c>
      <x:c r="G32" s="32" t="n">
        <x:f>IF(2&lt;'假設'!$F$16,0,IF(G18+G19/2=0,G25,MIN(G25,G31/(G18+G19/2))))</x:f>
        <x:v>0</x:v>
      </x:c>
      <x:c r="H32" s="32" t="n">
        <x:f>IF(3&lt;'假設'!$F$16,0,IF(H18+H19/2=0,H25,MIN(H25,H31/(H18+H19/2))))</x:f>
        <x:v>1.68</x:v>
      </x:c>
      <x:c r="I32" s="32" t="n">
        <x:f>IF(4&lt;'假設'!$F$16,0,IF(I18+I19/2=0,I25,MIN(I25,I31/(I18+I19/2))))</x:f>
        <x:v>1.68</x:v>
      </x:c>
      <x:c r="J32" s="32" t="n">
        <x:f>IF(5&lt;'假設'!$F$16,0,IF(J18+J19/2=0,J25,MIN(J25,J31/(J18+J19/2))))</x:f>
        <x:v>1.68</x:v>
      </x:c>
      <x:c r="K32" s="32" t="n">
        <x:f>IF(6&lt;'假設'!$F$16,0,IF(K18+K19/2=0,K25,MIN(K25,K31/(K18+K19/2))))</x:f>
        <x:v>1.68</x:v>
      </x:c>
      <x:c r="L32" s="32" t="n">
        <x:f>IF(7&lt;'假設'!$F$16,0,IF(L18+L19/2=0,L25,MIN(L25,L31/(L18+L19/2))))</x:f>
        <x:v>1.68</x:v>
      </x:c>
      <x:c r="M32" s="32" t="n">
        <x:f>IF(8&lt;'假設'!$F$16,0,IF(M18+M19/2=0,M25,MIN(M25,M31/(M18+M19/2))))</x:f>
        <x:v>1.68</x:v>
      </x:c>
      <x:c r="N32" s="32" t="n">
        <x:f>IF(9&lt;'假設'!$F$16,0,IF(N18+N19/2=0,N25,MIN(N25,N31/(N18+N19/2))))</x:f>
        <x:v>1.68</x:v>
      </x:c>
      <x:c r="O32" s="32" t="n">
        <x:f>IF(10&lt;'假設'!$F$16,0,IF(O18+O19/2=0,O25,MIN(O25,O31/(O18+O19/2))))</x:f>
        <x:v>1.68</x:v>
      </x:c>
      <x:c r="P32" s="32" t="n">
        <x:f>IF(11&lt;'假設'!$F$16,0,IF(P18+P19/2=0,P25,MIN(P25,P31/(P18+P19/2))))</x:f>
        <x:v>1.68</x:v>
      </x:c>
      <x:c r="Q32" s="32" t="n">
        <x:f>IF(12&lt;'假設'!$F$16,0,IF(Q18+Q19/2=0,Q25,MIN(Q25,Q31/(Q18+Q19/2))))</x:f>
        <x:v>1.68</x:v>
      </x:c>
      <x:c r="R32" s="32" t="n">
        <x:f>IF(13&lt;'假設'!$F$16,0,IF(R18+R19/2=0,R25,MIN(R25,R31/(R18+R19/2))))</x:f>
        <x:v>1.68</x:v>
      </x:c>
      <x:c r="S32" s="32" t="n">
        <x:f>IF(14&lt;'假設'!$F$16,0,IF(S18+S19/2=0,S25,MIN(S25,S31/(S18+S19/2))))</x:f>
        <x:v>1.68</x:v>
      </x:c>
      <x:c r="T32" s="32" t="n">
        <x:f>IF(15&lt;'假設'!$F$16,0,IF(T18+T19/2=0,T25,MIN(T25,T31/(T18+T19/2))))</x:f>
        <x:v>1.68</x:v>
      </x:c>
      <x:c r="U32" s="32" t="n">
        <x:f>IF(16&lt;'假設'!$F$16,0,IF(U18+U19/2=0,U25,MIN(U25,U31/(U18+U19/2))))</x:f>
        <x:v>1.68</x:v>
      </x:c>
      <x:c r="V32" s="32" t="n">
        <x:f>IF(17&lt;'假設'!$F$16,0,IF(V18+V19/2=0,V25,MIN(V25,V31/(V18+V19/2))))</x:f>
        <x:v>1.68</x:v>
      </x:c>
      <x:c r="W32" s="32" t="n">
        <x:f>IF(18&lt;'假設'!$F$16,0,IF(W18+W19/2=0,W25,MIN(W25,W31/(W18+W19/2))))</x:f>
        <x:v>1.68</x:v>
      </x:c>
      <x:c r="X32" s="32" t="n">
        <x:f>IF(19&lt;'假設'!$F$16,0,IF(X18+X19/2=0,X25,MIN(X25,X31/(X18+X19/2))))</x:f>
        <x:v>1.68</x:v>
      </x:c>
      <x:c r="Y32" s="32" t="n">
        <x:f>IF(20&lt;'假設'!$F$16,0,IF(Y18+Y19/2=0,Y25,MIN(Y25,Y31/(Y18+Y19/2))))</x:f>
        <x:v>1.6689781816121425</x:v>
      </x:c>
      <x:c r="Z32" s="32" t="n">
        <x:f>IF(21&lt;'假設'!$F$16,0,IF(Z18+Z19/2=0,Z25,MIN(Z25,Z31/(Z18+Z19/2))))</x:f>
        <x:v>1.4316724038847295</x:v>
      </x:c>
      <x:c r="AA32" s="32" t="n">
        <x:f>IF(22&lt;'假設'!$F$16,0,IF(AA18+AA19/2=0,AA25,MIN(AA25,AA31/(AA18+AA19/2))))</x:f>
        <x:v>1.2523747051573504</x:v>
      </x:c>
      <x:c r="AB32" s="32" t="n">
        <x:f>IF(23&lt;'假設'!$F$16,0,IF(AB18+AB19/2=0,AB25,MIN(AB25,AB31/(AB18+AB19/2))))</x:f>
        <x:v>1.116905332785554</x:v>
      </x:c>
      <x:c r="AC32" s="32" t="n">
        <x:f>IF(24&lt;'假設'!$F$16,0,IF(AC18+AC19/2=0,AC25,MIN(AC25,AC31/(AC18+AC19/2))))</x:f>
        <x:v>1.0145506958824195</x:v>
      </x:c>
    </x:row>
    <x:row r="33" ht="23" customHeight="1">
      <x:c r="A33" s="2"/>
      <x:c r="B33" s="2"/>
      <x:c r="C33" s="2" t="str">
        <x:v>超出容量未接單</x:v>
      </x:c>
      <x:c r="D33" s="2" t="str">
        <x:v>店</x:v>
      </x:c>
      <x:c r="E33" s="2"/>
      <x:c r="F33" s="32" t="n">
        <x:f>F25-F32</x:f>
        <x:v>0</x:v>
      </x:c>
      <x:c r="G33" s="32" t="n">
        <x:f>G25-G32</x:f>
        <x:v>0</x:v>
      </x:c>
      <x:c r="H33" s="32" t="n">
        <x:f>H25-H32</x:f>
        <x:v>0</x:v>
      </x:c>
      <x:c r="I33" s="32" t="n">
        <x:f>I25-I32</x:f>
        <x:v>0</x:v>
      </x:c>
      <x:c r="J33" s="32" t="n">
        <x:f>J25-J32</x:f>
        <x:v>0</x:v>
      </x:c>
      <x:c r="K33" s="32" t="n">
        <x:f>K25-K32</x:f>
        <x:v>0</x:v>
      </x:c>
      <x:c r="L33" s="32" t="n">
        <x:f>L25-L32</x:f>
        <x:v>0</x:v>
      </x:c>
      <x:c r="M33" s="32" t="n">
        <x:f>M25-M32</x:f>
        <x:v>0</x:v>
      </x:c>
      <x:c r="N33" s="32" t="n">
        <x:f>N25-N32</x:f>
        <x:v>0</x:v>
      </x:c>
      <x:c r="O33" s="32" t="n">
        <x:f>O25-O32</x:f>
        <x:v>0</x:v>
      </x:c>
      <x:c r="P33" s="32" t="n">
        <x:f>P25-P32</x:f>
        <x:v>0</x:v>
      </x:c>
      <x:c r="Q33" s="32" t="n">
        <x:f>Q25-Q32</x:f>
        <x:v>0</x:v>
      </x:c>
      <x:c r="R33" s="32" t="n">
        <x:f>R25-R32</x:f>
        <x:v>0</x:v>
      </x:c>
      <x:c r="S33" s="32" t="n">
        <x:f>S25-S32</x:f>
        <x:v>0</x:v>
      </x:c>
      <x:c r="T33" s="32" t="n">
        <x:f>T25-T32</x:f>
        <x:v>0</x:v>
      </x:c>
      <x:c r="U33" s="32" t="n">
        <x:f>U25-U32</x:f>
        <x:v>0</x:v>
      </x:c>
      <x:c r="V33" s="32" t="n">
        <x:f>V25-V32</x:f>
        <x:v>0</x:v>
      </x:c>
      <x:c r="W33" s="32" t="n">
        <x:f>W25-W32</x:f>
        <x:v>0</x:v>
      </x:c>
      <x:c r="X33" s="32" t="n">
        <x:f>X25-X32</x:f>
        <x:v>0</x:v>
      </x:c>
      <x:c r="Y33" s="32" t="n">
        <x:f>Y25-Y32</x:f>
        <x:v>0.01102181838785743</x:v>
      </x:c>
      <x:c r="Z33" s="32" t="n">
        <x:f>Z25-Z32</x:f>
        <x:v>0.24832759611527044</x:v>
      </x:c>
      <x:c r="AA33" s="32" t="n">
        <x:f>AA25-AA32</x:f>
        <x:v>0.42762529484264955</x:v>
      </x:c>
      <x:c r="AB33" s="32" t="n">
        <x:f>AB25-AB32</x:f>
        <x:v>0.5630946672144459</x:v>
      </x:c>
      <x:c r="AC33" s="32" t="n">
        <x:f>AC25-AC32</x:f>
        <x:v>0.6654493041175804</x:v>
      </x:c>
    </x:row>
    <x:row r="34" ht="23" customHeight="1">
      <x:c r="A34" s="2"/>
      <x:c r="B34" s="2"/>
      <x:c r="C34" s="18" t="str">
        <x:v>期末付費店</x:v>
      </x:c>
      <x:c r="D34" s="18" t="str">
        <x:v>店</x:v>
      </x:c>
      <x:c r="E34" s="18"/>
      <x:c r="F34" s="19" t="n">
        <x:f>F26-F27+F32</x:f>
        <x:v>0</x:v>
      </x:c>
      <x:c r="G34" s="19" t="n">
        <x:f>G26-G27+G32</x:f>
        <x:v>0</x:v>
      </x:c>
      <x:c r="H34" s="19" t="n">
        <x:f>H26-H27+H32</x:f>
        <x:v>1.68</x:v>
      </x:c>
      <x:c r="I34" s="19" t="n">
        <x:f>I26-I27+I32</x:f>
        <x:v>3.3179999999999996</x:v>
      </x:c>
      <x:c r="J34" s="19" t="n">
        <x:f>J26-J27+J32</x:f>
        <x:v>4.91505</x:v>
      </x:c>
      <x:c r="K34" s="19" t="n">
        <x:f>K26-K27+K32</x:f>
        <x:v>6.47217375</x:v>
      </x:c>
      <x:c r="L34" s="19" t="n">
        <x:f>L26-L27+L32</x:f>
        <x:v>7.990369406249999</x:v>
      </x:c>
      <x:c r="M34" s="19" t="n">
        <x:f>M26-M27+M32</x:f>
        <x:v>9.47061017109375</x:v>
      </x:c>
      <x:c r="N34" s="19" t="n">
        <x:f>N26-N27+N32</x:f>
        <x:v>10.913844916816405</x:v>
      </x:c>
      <x:c r="O34" s="19" t="n">
        <x:f>O26-O27+O32</x:f>
        <x:v>12.320998793895996</x:v>
      </x:c>
      <x:c r="P34" s="19" t="n">
        <x:f>P26-P27+P32</x:f>
        <x:v>13.692973824048595</x:v>
      </x:c>
      <x:c r="Q34" s="19" t="n">
        <x:f>Q26-Q27+Q32</x:f>
        <x:v>15.03064947844738</x:v>
      </x:c>
      <x:c r="R34" s="19" t="n">
        <x:f>R26-R27+R32</x:f>
        <x:v>16.334883241486196</x:v>
      </x:c>
      <x:c r="S34" s="19" t="n">
        <x:f>S26-S27+S32</x:f>
        <x:v>17.606511160449042</x:v>
      </x:c>
      <x:c r="T34" s="19" t="n">
        <x:f>T26-T27+T32</x:f>
        <x:v>18.846348381437817</x:v>
      </x:c>
      <x:c r="U34" s="19" t="n">
        <x:f>U26-U27+U32</x:f>
        <x:v>20.05518967190187</x:v>
      </x:c>
      <x:c r="V34" s="19" t="n">
        <x:f>V26-V27+V32</x:f>
        <x:v>21.233809930104325</x:v>
      </x:c>
      <x:c r="W34" s="19" t="n">
        <x:f>W26-W27+W32</x:f>
        <x:v>22.382964681851718</x:v>
      </x:c>
      <x:c r="X34" s="19" t="n">
        <x:f>X26-X27+X32</x:f>
        <x:v>23.503390564805425</x:v>
      </x:c>
      <x:c r="Y34" s="19" t="n">
        <x:f>Y26-Y27+Y32</x:f>
        <x:v>24.584783982297434</x:v>
      </x:c>
      <x:c r="Z34" s="19" t="n">
        <x:f>Z26-Z27+Z32</x:f>
        <x:v>25.401836786624727</x:v>
      </x:c>
      <x:c r="AA34" s="19" t="n">
        <x:f>AA26-AA27+AA32</x:f>
        <x:v>26.01916557211646</x:v>
      </x:c>
      <x:c r="AB34" s="19" t="n">
        <x:f>AB26-AB27+AB32</x:f>
        <x:v>26.4855917655991</x:v>
      </x:c>
      <x:c r="AC34" s="19" t="n">
        <x:f>AC26-AC27+AC32</x:f>
        <x:v>26.83800266734154</x:v>
      </x:c>
    </x:row>
    <x:row r="35" ht="23" customHeight="1">
      <x:c r="A35" s="2"/>
      <x:c r="B35" s="2"/>
      <x:c r="C35" s="2" t="str">
        <x:v>月平均付費店</x:v>
      </x:c>
      <x:c r="D35" s="2" t="str">
        <x:v>店</x:v>
      </x:c>
      <x:c r="E35" s="2"/>
      <x:c r="F35" s="32" t="n">
        <x:f>F28+F32/2</x:f>
        <x:v>0</x:v>
      </x:c>
      <x:c r="G35" s="32" t="n">
        <x:f>G28+G32/2</x:f>
        <x:v>0</x:v>
      </x:c>
      <x:c r="H35" s="32" t="n">
        <x:f>H28+H32/2</x:f>
        <x:v>0.84</x:v>
      </x:c>
      <x:c r="I35" s="32" t="n">
        <x:f>I28+I32/2</x:f>
        <x:v>2.499</x:v>
      </x:c>
      <x:c r="J35" s="32" t="n">
        <x:f>J28+J32/2</x:f>
        <x:v>4.116524999999999</x:v>
      </x:c>
      <x:c r="K35" s="32" t="n">
        <x:f>K28+K32/2</x:f>
        <x:v>5.693611875</x:v>
      </x:c>
      <x:c r="L35" s="32" t="n">
        <x:f>L28+L32/2</x:f>
        <x:v>7.231271578125</x:v>
      </x:c>
      <x:c r="M35" s="32" t="n">
        <x:f>M28+M32/2</x:f>
        <x:v>8.730489788671875</x:v>
      </x:c>
      <x:c r="N35" s="32" t="n">
        <x:f>N28+N32/2</x:f>
        <x:v>10.192227543955077</x:v>
      </x:c>
      <x:c r="O35" s="32" t="n">
        <x:f>O28+O32/2</x:f>
        <x:v>11.6174218553562</x:v>
      </x:c>
      <x:c r="P35" s="32" t="n">
        <x:f>P28+P32/2</x:f>
        <x:v>13.006986308972296</x:v>
      </x:c>
      <x:c r="Q35" s="32" t="n">
        <x:f>Q28+Q32/2</x:f>
        <x:v>14.361811651247987</x:v>
      </x:c>
      <x:c r="R35" s="32" t="n">
        <x:f>R28+R32/2</x:f>
        <x:v>15.682766359966788</x:v>
      </x:c>
      <x:c r="S35" s="32" t="n">
        <x:f>S28+S32/2</x:f>
        <x:v>16.970697200967617</x:v>
      </x:c>
      <x:c r="T35" s="32" t="n">
        <x:f>T28+T32/2</x:f>
        <x:v>18.22642977094343</x:v>
      </x:c>
      <x:c r="U35" s="32" t="n">
        <x:f>U28+U32/2</x:f>
        <x:v>19.450769026669846</x:v>
      </x:c>
      <x:c r="V35" s="32" t="n">
        <x:f>V28+V32/2</x:f>
        <x:v>20.644499801003096</x:v>
      </x:c>
      <x:c r="W35" s="32" t="n">
        <x:f>W28+W32/2</x:f>
        <x:v>21.80838730597802</x:v>
      </x:c>
      <x:c r="X35" s="32" t="n">
        <x:f>X28+X32/2</x:f>
        <x:v>22.94317762332857</x:v>
      </x:c>
      <x:c r="Y35" s="32" t="n">
        <x:f>Y28+Y32/2</x:f>
        <x:v>24.044087273551426</x:v>
      </x:c>
      <x:c r="Z35" s="32" t="n">
        <x:f>Z28+Z32/2</x:f>
        <x:v>24.993310384461083</x:v>
      </x:c>
      <x:c r="AA35" s="32" t="n">
        <x:f>AA28+AA32/2</x:f>
        <x:v>25.710501179370596</x:v>
      </x:c>
      <x:c r="AB35" s="32" t="n">
        <x:f>AB28+AB32/2</x:f>
        <x:v>26.252378668857784</x:v>
      </x:c>
      <x:c r="AC35" s="32" t="n">
        <x:f>AC28+AC32/2</x:f>
        <x:v>26.661797216470323</x:v>
      </x:c>
    </x:row>
    <x:row r="36" ht="23" customHeight="1">
      <x:c r="A36" s="2"/>
      <x:c r="B36" s="2"/>
      <x:c r="C36" s="2" t="str">
        <x:v>創辦人實際預計工時</x:v>
      </x:c>
      <x:c r="D36" s="2" t="str">
        <x:v>小時</x:v>
      </x:c>
      <x:c r="E36" s="2"/>
      <x:c r="F36" s="32" t="n">
        <x:f>SUM(F20,F29:F30)+F35*F19+F32*F18</x:f>
        <x:v>57.6</x:v>
      </x:c>
      <x:c r="G36" s="32" t="n">
        <x:f>SUM(G20,G29:G30)+G35*G19+G32*G18</x:f>
        <x:v>60.96</x:v>
      </x:c>
      <x:c r="H36" s="32" t="n">
        <x:f>SUM(H20,H29:H30)+H35*H19+H32*H18</x:f>
        <x:v>66.63000000000001</x:v>
      </x:c>
      <x:c r="I36" s="32" t="n">
        <x:f>SUM(I20,I29:I30)+I35*I19+I32*I18</x:f>
        <x:v>55.874249999999996</x:v>
      </x:c>
      <x:c r="J36" s="32" t="n">
        <x:f>SUM(J20,J29:J30)+J35*J19+J32*J18</x:f>
        <x:v>57.08739375</x:v>
      </x:c>
      <x:c r="K36" s="32" t="n">
        <x:f>SUM(K20,K29:K30)+K35*K19+K32*K18</x:f>
        <x:v>58.27020890625</x:v>
      </x:c>
      <x:c r="L36" s="32" t="n">
        <x:f>SUM(L20,L29:L30)+L35*L19+L32*L18</x:f>
        <x:v>59.42345368359375</x:v>
      </x:c>
      <x:c r="M36" s="32" t="n">
        <x:f>SUM(M20,M29:M30)+M35*M19+M32*M18</x:f>
        <x:v>60.54786734150391</x:v>
      </x:c>
      <x:c r="N36" s="32" t="n">
        <x:f>SUM(N20,N29:N30)+N35*N19+N32*N18</x:f>
        <x:v>61.644170657966306</x:v>
      </x:c>
      <x:c r="O36" s="32" t="n">
        <x:f>SUM(O20,O29:O30)+O35*O19+O32*O18</x:f>
        <x:v>62.71306639151715</x:v>
      </x:c>
      <x:c r="P36" s="32" t="n">
        <x:f>SUM(P20,P29:P30)+P35*P19+P32*P18</x:f>
        <x:v>63.755239731729226</x:v>
      </x:c>
      <x:c r="Q36" s="32" t="n">
        <x:f>SUM(Q20,Q29:Q30)+Q35*Q19+Q32*Q18</x:f>
        <x:v>64.77135873843599</x:v>
      </x:c>
      <x:c r="R36" s="32" t="n">
        <x:f>SUM(R20,R29:R30)+R35*R19+R32*R18</x:f>
        <x:v>65.7620747699751</x:v>
      </x:c>
      <x:c r="S36" s="32" t="n">
        <x:f>SUM(S20,S29:S30)+S35*S19+S32*S18</x:f>
        <x:v>66.72802290072572</x:v>
      </x:c>
      <x:c r="T36" s="32" t="n">
        <x:f>SUM(T20,T29:T30)+T35*T19+T32*T18</x:f>
        <x:v>67.66982232820757</x:v>
      </x:c>
      <x:c r="U36" s="32" t="n">
        <x:f>SUM(U20,U29:U30)+U35*U19+U32*U18</x:f>
        <x:v>68.58807677000239</x:v>
      </x:c>
      <x:c r="V36" s="32" t="n">
        <x:f>SUM(V20,V29:V30)+V35*V19+V32*V18</x:f>
        <x:v>69.48337485075233</x:v>
      </x:c>
      <x:c r="W36" s="32" t="n">
        <x:f>SUM(W20,W29:W30)+W35*W19+W32*W18</x:f>
        <x:v>70.35629047948352</x:v>
      </x:c>
      <x:c r="X36" s="32" t="n">
        <x:f>SUM(X20,X29:X30)+X35*X19+X32*X18</x:f>
        <x:v>71.20738321749643</x:v>
      </x:c>
      <x:c r="Y36" s="32" t="n">
        <x:f>SUM(Y20,Y29:Y30)+Y35*Y19+Y32*Y18</x:f>
        <x:v>72</x:v>
      </x:c>
      <x:c r="Z36" s="32" t="n">
        <x:f>SUM(Z20,Z29:Z30)+Z35*Z19+Z32*Z18</x:f>
        <x:v>72</x:v>
      </x:c>
      <x:c r="AA36" s="32" t="n">
        <x:f>SUM(AA20,AA29:AA30)+AA35*AA19+AA32*AA18</x:f>
        <x:v>72</x:v>
      </x:c>
      <x:c r="AB36" s="32" t="n">
        <x:f>SUM(AB20,AB29:AB30)+AB35*AB19+AB32*AB18</x:f>
        <x:v>72</x:v>
      </x:c>
      <x:c r="AC36" s="32" t="n">
        <x:f>SUM(AC20,AC29:AC30)+AC35*AC19+AC32*AC18</x:f>
        <x:v>72</x:v>
      </x:c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</x:row>
    <x:row r="38" ht="23" customHeight="1">
      <x:c r="A38" s="2"/>
      <x:c r="B38" s="2"/>
      <x:c r="C38" s="14" t="str">
        <x:v>營收：訂閱與導入分列</x:v>
      </x:c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</x:row>
    <x:row r="39" ht="23" customHeight="1">
      <x:c r="A39" s="2"/>
      <x:c r="B39" s="2"/>
      <x:c r="C39" s="2" t="str">
        <x:v>訂閱收入</x:v>
      </x:c>
      <x:c r="D39" s="2" t="str">
        <x:v>NT$</x:v>
      </x:c>
      <x:c r="E39" s="2"/>
      <x:c r="F39" s="33" t="n">
        <x:f>F35*F12</x:f>
        <x:v>0</x:v>
      </x:c>
      <x:c r="G39" s="33" t="n">
        <x:f>G35*G12</x:f>
        <x:v>0</x:v>
      </x:c>
      <x:c r="H39" s="33" t="n">
        <x:f>H35*H12</x:f>
        <x:v>1083.6</x:v>
      </x:c>
      <x:c r="I39" s="33" t="n">
        <x:f>I35*I12</x:f>
        <x:v>3223.71</x:v>
      </x:c>
      <x:c r="J39" s="33" t="n">
        <x:f>J35*J12</x:f>
        <x:v>5310.317249999999</x:v>
      </x:c>
      <x:c r="K39" s="33" t="n">
        <x:f>K35*K12</x:f>
        <x:v>7344.759318750001</x:v>
      </x:c>
      <x:c r="L39" s="33" t="n">
        <x:f>L35*L12</x:f>
        <x:v>9328.34033578125</x:v>
      </x:c>
      <x:c r="M39" s="33" t="n">
        <x:f>M35*M12</x:f>
        <x:v>11262.331827386719</x:v>
      </x:c>
      <x:c r="N39" s="33" t="n">
        <x:f>N35*N12</x:f>
        <x:v>13147.97353170205</x:v>
      </x:c>
      <x:c r="O39" s="33" t="n">
        <x:f>O35*O12</x:f>
        <x:v>14986.474193409498</x:v>
      </x:c>
      <x:c r="P39" s="33" t="n">
        <x:f>P35*P12</x:f>
        <x:v>16779.012338574263</x:v>
      </x:c>
      <x:c r="Q39" s="33" t="n">
        <x:f>Q35*Q12</x:f>
        <x:v>18526.737030109904</x:v>
      </x:c>
      <x:c r="R39" s="33" t="n">
        <x:f>R35*R12</x:f>
        <x:v>20230.768604357156</x:v>
      </x:c>
      <x:c r="S39" s="33" t="n">
        <x:f>S35*S12</x:f>
        <x:v>21892.199389248228</x:v>
      </x:c>
      <x:c r="T39" s="33" t="n">
        <x:f>T35*T12</x:f>
        <x:v>23512.094404517025</x:v>
      </x:c>
      <x:c r="U39" s="33" t="n">
        <x:f>U35*U12</x:f>
        <x:v>25091.4920444041</x:v>
      </x:c>
      <x:c r="V39" s="33" t="n">
        <x:f>V35*V12</x:f>
        <x:v>26631.404743293995</x:v>
      </x:c>
      <x:c r="W39" s="33" t="n">
        <x:f>W35*W12</x:f>
        <x:v>28132.819624711647</x:v>
      </x:c>
      <x:c r="X39" s="33" t="n">
        <x:f>X35*X12</x:f>
        <x:v>29596.699134093855</x:v>
      </x:c>
      <x:c r="Y39" s="33" t="n">
        <x:f>Y35*Y12</x:f>
        <x:v>31016.87258288134</x:v>
      </x:c>
      <x:c r="Z39" s="33" t="n">
        <x:f>Z35*Z12</x:f>
        <x:v>32241.370395954797</x:v>
      </x:c>
      <x:c r="AA39" s="33" t="n">
        <x:f>AA35*AA12</x:f>
        <x:v>33166.54652138807</x:v>
      </x:c>
      <x:c r="AB39" s="33" t="n">
        <x:f>AB35*AB12</x:f>
        <x:v>33865.568482826544</x:v>
      </x:c>
      <x:c r="AC39" s="33" t="n">
        <x:f>AC35*AC12</x:f>
        <x:v>34393.718409246714</x:v>
      </x:c>
    </x:row>
    <x:row r="40" ht="23" customHeight="1">
      <x:c r="A40" s="2"/>
      <x:c r="B40" s="2"/>
      <x:c r="C40" s="2" t="str">
        <x:v>一次性導入收入</x:v>
      </x:c>
      <x:c r="D40" s="2" t="str">
        <x:v>NT$</x:v>
      </x:c>
      <x:c r="E40" s="2"/>
      <x:c r="F40" s="33" t="n">
        <x:f>F32*F13</x:f>
        <x:v>0</x:v>
      </x:c>
      <x:c r="G40" s="33" t="n">
        <x:f>G32*G13</x:f>
        <x:v>0</x:v>
      </x:c>
      <x:c r="H40" s="33" t="n">
        <x:f>H32*H13</x:f>
        <x:v>8232</x:v>
      </x:c>
      <x:c r="I40" s="33" t="n">
        <x:f>I32*I13</x:f>
        <x:v>8232</x:v>
      </x:c>
      <x:c r="J40" s="33" t="n">
        <x:f>J32*J13</x:f>
        <x:v>8232</x:v>
      </x:c>
      <x:c r="K40" s="33" t="n">
        <x:f>K32*K13</x:f>
        <x:v>8232</x:v>
      </x:c>
      <x:c r="L40" s="33" t="n">
        <x:f>L32*L13</x:f>
        <x:v>8232</x:v>
      </x:c>
      <x:c r="M40" s="33" t="n">
        <x:f>M32*M13</x:f>
        <x:v>8232</x:v>
      </x:c>
      <x:c r="N40" s="33" t="n">
        <x:f>N32*N13</x:f>
        <x:v>8232</x:v>
      </x:c>
      <x:c r="O40" s="33" t="n">
        <x:f>O32*O13</x:f>
        <x:v>8232</x:v>
      </x:c>
      <x:c r="P40" s="33" t="n">
        <x:f>P32*P13</x:f>
        <x:v>8232</x:v>
      </x:c>
      <x:c r="Q40" s="33" t="n">
        <x:f>Q32*Q13</x:f>
        <x:v>8232</x:v>
      </x:c>
      <x:c r="R40" s="33" t="n">
        <x:f>R32*R13</x:f>
        <x:v>8232</x:v>
      </x:c>
      <x:c r="S40" s="33" t="n">
        <x:f>S32*S13</x:f>
        <x:v>8232</x:v>
      </x:c>
      <x:c r="T40" s="33" t="n">
        <x:f>T32*T13</x:f>
        <x:v>8232</x:v>
      </x:c>
      <x:c r="U40" s="33" t="n">
        <x:f>U32*U13</x:f>
        <x:v>8232</x:v>
      </x:c>
      <x:c r="V40" s="33" t="n">
        <x:f>V32*V13</x:f>
        <x:v>8232</x:v>
      </x:c>
      <x:c r="W40" s="33" t="n">
        <x:f>W32*W13</x:f>
        <x:v>8232</x:v>
      </x:c>
      <x:c r="X40" s="33" t="n">
        <x:f>X32*X13</x:f>
        <x:v>8232</x:v>
      </x:c>
      <x:c r="Y40" s="33" t="n">
        <x:f>Y32*Y13</x:f>
        <x:v>8177.993089899498</x:v>
      </x:c>
      <x:c r="Z40" s="33" t="n">
        <x:f>Z32*Z13</x:f>
        <x:v>7015.194779035174</x:v>
      </x:c>
      <x:c r="AA40" s="33" t="n">
        <x:f>AA32*AA13</x:f>
        <x:v>6136.636055271017</x:v>
      </x:c>
      <x:c r="AB40" s="33" t="n">
        <x:f>AB32*AB13</x:f>
        <x:v>5472.836130649215</x:v>
      </x:c>
      <x:c r="AC40" s="33" t="n">
        <x:f>AC32*AC13</x:f>
        <x:v>4971.298409823856</x:v>
      </x:c>
    </x:row>
    <x:row r="41" ht="23" customHeight="1">
      <x:c r="A41" s="2"/>
      <x:c r="B41" s="2"/>
      <x:c r="C41" s="18" t="str">
        <x:v>總收入</x:v>
      </x:c>
      <x:c r="D41" s="18" t="str">
        <x:v>NT$</x:v>
      </x:c>
      <x:c r="E41" s="18"/>
      <x:c r="F41" s="21" t="n">
        <x:f>SUM(F39:F40)</x:f>
        <x:v>0</x:v>
      </x:c>
      <x:c r="G41" s="21" t="n">
        <x:f>SUM(G39:G40)</x:f>
        <x:v>0</x:v>
      </x:c>
      <x:c r="H41" s="21" t="n">
        <x:f>SUM(H39:H40)</x:f>
        <x:v>9315.6</x:v>
      </x:c>
      <x:c r="I41" s="21" t="n">
        <x:f>SUM(I39:I40)</x:f>
        <x:v>11455.71</x:v>
      </x:c>
      <x:c r="J41" s="21" t="n">
        <x:f>SUM(J39:J40)</x:f>
        <x:v>13542.31725</x:v>
      </x:c>
      <x:c r="K41" s="21" t="n">
        <x:f>SUM(K39:K40)</x:f>
        <x:v>15576.75931875</x:v>
      </x:c>
      <x:c r="L41" s="21" t="n">
        <x:f>SUM(L39:L40)</x:f>
        <x:v>17560.34033578125</x:v>
      </x:c>
      <x:c r="M41" s="21" t="n">
        <x:f>SUM(M39:M40)</x:f>
        <x:v>19494.33182738672</x:v>
      </x:c>
      <x:c r="N41" s="21" t="n">
        <x:f>SUM(N39:N40)</x:f>
        <x:v>21379.97353170205</x:v>
      </x:c>
      <x:c r="O41" s="21" t="n">
        <x:f>SUM(O39:O40)</x:f>
        <x:v>23218.4741934095</x:v>
      </x:c>
      <x:c r="P41" s="21" t="n">
        <x:f>SUM(P39:P40)</x:f>
        <x:v>25011.012338574263</x:v>
      </x:c>
      <x:c r="Q41" s="21" t="n">
        <x:f>SUM(Q39:Q40)</x:f>
        <x:v>26758.737030109904</x:v>
      </x:c>
      <x:c r="R41" s="21" t="n">
        <x:f>SUM(R39:R40)</x:f>
        <x:v>28462.768604357156</x:v>
      </x:c>
      <x:c r="S41" s="21" t="n">
        <x:f>SUM(S39:S40)</x:f>
        <x:v>30124.199389248228</x:v>
      </x:c>
      <x:c r="T41" s="21" t="n">
        <x:f>SUM(T39:T40)</x:f>
        <x:v>31744.094404517025</x:v>
      </x:c>
      <x:c r="U41" s="21" t="n">
        <x:f>SUM(U39:U40)</x:f>
        <x:v>33323.492044404105</x:v>
      </x:c>
      <x:c r="V41" s="21" t="n">
        <x:f>SUM(V39:V40)</x:f>
        <x:v>34863.404743294</x:v>
      </x:c>
      <x:c r="W41" s="21" t="n">
        <x:f>SUM(W39:W40)</x:f>
        <x:v>36364.81962471164</x:v>
      </x:c>
      <x:c r="X41" s="21" t="n">
        <x:f>SUM(X39:X40)</x:f>
        <x:v>37828.699134093855</x:v>
      </x:c>
      <x:c r="Y41" s="21" t="n">
        <x:f>SUM(Y39:Y40)</x:f>
        <x:v>39194.86567278084</x:v>
      </x:c>
      <x:c r="Z41" s="21" t="n">
        <x:f>SUM(Z39:Z40)</x:f>
        <x:v>39256.56517498997</x:v>
      </x:c>
      <x:c r="AA41" s="21" t="n">
        <x:f>SUM(AA39:AA40)</x:f>
        <x:v>39303.182576659085</x:v>
      </x:c>
      <x:c r="AB41" s="21" t="n">
        <x:f>SUM(AB39:AB40)</x:f>
        <x:v>39338.40461347576</x:v>
      </x:c>
      <x:c r="AC41" s="21" t="n">
        <x:f>SUM(AC39:AC40)</x:f>
        <x:v>39365.01681907057</x:v>
      </x:c>
    </x:row>
    <x:row r="42" ht="23" customHeight="1">
      <x:c r="A42" s="2"/>
      <x:c r="B42" s="2"/>
      <x:c r="C42" s="18" t="str">
        <x:v>期末月經常性收入 MRR</x:v>
      </x:c>
      <x:c r="D42" s="18" t="str">
        <x:v>NT$</x:v>
      </x:c>
      <x:c r="E42" s="18"/>
      <x:c r="F42" s="21" t="n">
        <x:f>F34*F12</x:f>
        <x:v>0</x:v>
      </x:c>
      <x:c r="G42" s="21" t="n">
        <x:f>G34*G12</x:f>
        <x:v>0</x:v>
      </x:c>
      <x:c r="H42" s="21" t="n">
        <x:f>H34*H12</x:f>
        <x:v>2167.2</x:v>
      </x:c>
      <x:c r="I42" s="21" t="n">
        <x:f>I34*I12</x:f>
        <x:v>4280.219999999999</x:v>
      </x:c>
      <x:c r="J42" s="21" t="n">
        <x:f>J34*J12</x:f>
        <x:v>6340.4145</x:v>
      </x:c>
      <x:c r="K42" s="21" t="n">
        <x:f>K34*K12</x:f>
        <x:v>8349.104137499999</x:v>
      </x:c>
      <x:c r="L42" s="21" t="n">
        <x:f>L34*L12</x:f>
        <x:v>10307.576534062498</x:v>
      </x:c>
      <x:c r="M42" s="21" t="n">
        <x:f>M34*M12</x:f>
        <x:v>12217.087120710938</x:v>
      </x:c>
      <x:c r="N42" s="21" t="n">
        <x:f>N34*N12</x:f>
        <x:v>14078.859942693163</x:v>
      </x:c>
      <x:c r="O42" s="21" t="n">
        <x:f>O34*O12</x:f>
        <x:v>15894.088444125835</x:v>
      </x:c>
      <x:c r="P42" s="21" t="n">
        <x:f>P34*P12</x:f>
        <x:v>17663.936233022687</x:v>
      </x:c>
      <x:c r="Q42" s="21" t="n">
        <x:f>Q34*Q12</x:f>
        <x:v>19389.53782719712</x:v>
      </x:c>
      <x:c r="R42" s="21" t="n">
        <x:f>R34*R12</x:f>
        <x:v>21071.99938151719</x:v>
      </x:c>
      <x:c r="S42" s="21" t="n">
        <x:f>S34*S12</x:f>
        <x:v>22712.399396979265</x:v>
      </x:c>
      <x:c r="T42" s="21" t="n">
        <x:f>T34*T12</x:f>
        <x:v>24311.789412054783</x:v>
      </x:c>
      <x:c r="U42" s="21" t="n">
        <x:f>U34*U12</x:f>
        <x:v>25871.194676753414</x:v>
      </x:c>
      <x:c r="V42" s="21" t="n">
        <x:f>V34*V12</x:f>
        <x:v>27391.61480983458</x:v>
      </x:c>
      <x:c r="W42" s="21" t="n">
        <x:f>W34*W12</x:f>
        <x:v>28874.024439588717</x:v>
      </x:c>
      <x:c r="X42" s="21" t="n">
        <x:f>X34*X12</x:f>
        <x:v>30319.373828598997</x:v>
      </x:c>
      <x:c r="Y42" s="21" t="n">
        <x:f>Y34*Y12</x:f>
        <x:v>31714.37133716369</x:v>
      </x:c>
      <x:c r="Z42" s="21" t="n">
        <x:f>Z34*Z12</x:f>
        <x:v>32768.3694547459</x:v>
      </x:c>
      <x:c r="AA42" s="21" t="n">
        <x:f>AA34*AA12</x:f>
        <x:v>33564.72358803023</x:v>
      </x:c>
      <x:c r="AB42" s="21" t="n">
        <x:f>AB34*AB12</x:f>
        <x:v>34166.41337762284</x:v>
      </x:c>
      <x:c r="AC42" s="21" t="n">
        <x:f>AC34*AC12</x:f>
        <x:v>34621.02344087059</x:v>
      </x:c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</x:row>
    <x:row r="44" ht="23" customHeight="1">
      <x:c r="A44" s="2"/>
      <x:c r="B44" s="2"/>
      <x:c r="C44" s="14" t="str">
        <x:v>現金與時間成本</x:v>
      </x:c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</x:row>
    <x:row r="45" ht="23" customHeight="1">
      <x:c r="A45" s="2"/>
      <x:c r="B45" s="2"/>
      <x:c r="C45" s="2" t="str">
        <x:v>固定現金成本</x:v>
      </x:c>
      <x:c r="D45" s="2" t="str">
        <x:v>NT$</x:v>
      </x:c>
      <x:c r="E45" s="2"/>
      <x:c r="F45" s="33" t="n">
        <x:f>'假設'!$F$10</x:f>
        <x:v>3000</x:v>
      </x:c>
      <x:c r="G45" s="33" t="n">
        <x:f>'假設'!$F$10</x:f>
        <x:v>3000</x:v>
      </x:c>
      <x:c r="H45" s="33" t="n">
        <x:f>'假設'!$F$10</x:f>
        <x:v>3000</x:v>
      </x:c>
      <x:c r="I45" s="33" t="n">
        <x:f>'假設'!$F$10</x:f>
        <x:v>3000</x:v>
      </x:c>
      <x:c r="J45" s="33" t="n">
        <x:f>'假設'!$F$10</x:f>
        <x:v>3000</x:v>
      </x:c>
      <x:c r="K45" s="33" t="n">
        <x:f>'假設'!$F$10</x:f>
        <x:v>3000</x:v>
      </x:c>
      <x:c r="L45" s="33" t="n">
        <x:f>'假設'!$F$10</x:f>
        <x:v>3000</x:v>
      </x:c>
      <x:c r="M45" s="33" t="n">
        <x:f>'假設'!$F$10</x:f>
        <x:v>3000</x:v>
      </x:c>
      <x:c r="N45" s="33" t="n">
        <x:f>'假設'!$F$10</x:f>
        <x:v>3000</x:v>
      </x:c>
      <x:c r="O45" s="33" t="n">
        <x:f>'假設'!$F$10</x:f>
        <x:v>3000</x:v>
      </x:c>
      <x:c r="P45" s="33" t="n">
        <x:f>'假設'!$F$10</x:f>
        <x:v>3000</x:v>
      </x:c>
      <x:c r="Q45" s="33" t="n">
        <x:f>'假設'!$F$10</x:f>
        <x:v>3000</x:v>
      </x:c>
      <x:c r="R45" s="33" t="n">
        <x:f>'假設'!$F$10</x:f>
        <x:v>3000</x:v>
      </x:c>
      <x:c r="S45" s="33" t="n">
        <x:f>'假設'!$F$10</x:f>
        <x:v>3000</x:v>
      </x:c>
      <x:c r="T45" s="33" t="n">
        <x:f>'假設'!$F$10</x:f>
        <x:v>3000</x:v>
      </x:c>
      <x:c r="U45" s="33" t="n">
        <x:f>'假設'!$F$10</x:f>
        <x:v>3000</x:v>
      </x:c>
      <x:c r="V45" s="33" t="n">
        <x:f>'假設'!$F$10</x:f>
        <x:v>3000</x:v>
      </x:c>
      <x:c r="W45" s="33" t="n">
        <x:f>'假設'!$F$10</x:f>
        <x:v>3000</x:v>
      </x:c>
      <x:c r="X45" s="33" t="n">
        <x:f>'假設'!$F$10</x:f>
        <x:v>3000</x:v>
      </x:c>
      <x:c r="Y45" s="33" t="n">
        <x:f>'假設'!$F$10</x:f>
        <x:v>3000</x:v>
      </x:c>
      <x:c r="Z45" s="33" t="n">
        <x:f>'假設'!$F$10</x:f>
        <x:v>3000</x:v>
      </x:c>
      <x:c r="AA45" s="33" t="n">
        <x:f>'假設'!$F$10</x:f>
        <x:v>3000</x:v>
      </x:c>
      <x:c r="AB45" s="33" t="n">
        <x:f>'假設'!$F$10</x:f>
        <x:v>3000</x:v>
      </x:c>
      <x:c r="AC45" s="33" t="n">
        <x:f>'假設'!$F$10</x:f>
        <x:v>3000</x:v>
      </x:c>
    </x:row>
    <x:row r="46" ht="23" customHeight="1">
      <x:c r="A46" s="2"/>
      <x:c r="B46" s="2"/>
      <x:c r="C46" s="2" t="str">
        <x:v>獲客現金成本</x:v>
      </x:c>
      <x:c r="D46" s="2" t="str">
        <x:v>NT$</x:v>
      </x:c>
      <x:c r="E46" s="2"/>
      <x:c r="F46" s="33" t="n">
        <x:f>F14</x:f>
        <x:v>1500</x:v>
      </x:c>
      <x:c r="G46" s="33" t="n">
        <x:f>G14</x:f>
        <x:v>1500</x:v>
      </x:c>
      <x:c r="H46" s="33" t="n">
        <x:f>H14</x:f>
        <x:v>1500</x:v>
      </x:c>
      <x:c r="I46" s="33" t="n">
        <x:f>I14</x:f>
        <x:v>1500</x:v>
      </x:c>
      <x:c r="J46" s="33" t="n">
        <x:f>J14</x:f>
        <x:v>1500</x:v>
      </x:c>
      <x:c r="K46" s="33" t="n">
        <x:f>K14</x:f>
        <x:v>1500</x:v>
      </x:c>
      <x:c r="L46" s="33" t="n">
        <x:f>L14</x:f>
        <x:v>1500</x:v>
      </x:c>
      <x:c r="M46" s="33" t="n">
        <x:f>M14</x:f>
        <x:v>1500</x:v>
      </x:c>
      <x:c r="N46" s="33" t="n">
        <x:f>N14</x:f>
        <x:v>1500</x:v>
      </x:c>
      <x:c r="O46" s="33" t="n">
        <x:f>O14</x:f>
        <x:v>1500</x:v>
      </x:c>
      <x:c r="P46" s="33" t="n">
        <x:f>P14</x:f>
        <x:v>1500</x:v>
      </x:c>
      <x:c r="Q46" s="33" t="n">
        <x:f>Q14</x:f>
        <x:v>1500</x:v>
      </x:c>
      <x:c r="R46" s="33" t="n">
        <x:f>R14</x:f>
        <x:v>1500</x:v>
      </x:c>
      <x:c r="S46" s="33" t="n">
        <x:f>S14</x:f>
        <x:v>1500</x:v>
      </x:c>
      <x:c r="T46" s="33" t="n">
        <x:f>T14</x:f>
        <x:v>1500</x:v>
      </x:c>
      <x:c r="U46" s="33" t="n">
        <x:f>U14</x:f>
        <x:v>1500</x:v>
      </x:c>
      <x:c r="V46" s="33" t="n">
        <x:f>V14</x:f>
        <x:v>1500</x:v>
      </x:c>
      <x:c r="W46" s="33" t="n">
        <x:f>W14</x:f>
        <x:v>1500</x:v>
      </x:c>
      <x:c r="X46" s="33" t="n">
        <x:f>X14</x:f>
        <x:v>1500</x:v>
      </x:c>
      <x:c r="Y46" s="33" t="n">
        <x:f>Y14</x:f>
        <x:v>1500</x:v>
      </x:c>
      <x:c r="Z46" s="33" t="n">
        <x:f>Z14</x:f>
        <x:v>1500</x:v>
      </x:c>
      <x:c r="AA46" s="33" t="n">
        <x:f>AA14</x:f>
        <x:v>1500</x:v>
      </x:c>
      <x:c r="AB46" s="33" t="n">
        <x:f>AB14</x:f>
        <x:v>1500</x:v>
      </x:c>
      <x:c r="AC46" s="33" t="n">
        <x:f>AC14</x:f>
        <x:v>1500</x:v>
      </x:c>
    </x:row>
    <x:row r="47" ht="23" customHeight="1">
      <x:c r="A47" s="2"/>
      <x:c r="B47" s="2"/>
      <x:c r="C47" s="2" t="str">
        <x:v>按店變動成本</x:v>
      </x:c>
      <x:c r="D47" s="2" t="str">
        <x:v>NT$</x:v>
      </x:c>
      <x:c r="E47" s="2"/>
      <x:c r="F47" s="33" t="n">
        <x:f>F35*'假設'!$F$11</x:f>
        <x:v>0</x:v>
      </x:c>
      <x:c r="G47" s="33" t="n">
        <x:f>G35*'假設'!$F$11</x:f>
        <x:v>0</x:v>
      </x:c>
      <x:c r="H47" s="33" t="n">
        <x:f>H35*'假設'!$F$11</x:f>
        <x:v>84</x:v>
      </x:c>
      <x:c r="I47" s="33" t="n">
        <x:f>I35*'假設'!$F$11</x:f>
        <x:v>249.9</x:v>
      </x:c>
      <x:c r="J47" s="33" t="n">
        <x:f>J35*'假設'!$F$11</x:f>
        <x:v>411.6524999999999</x:v>
      </x:c>
      <x:c r="K47" s="33" t="n">
        <x:f>K35*'假設'!$F$11</x:f>
        <x:v>569.3611875</x:v>
      </x:c>
      <x:c r="L47" s="33" t="n">
        <x:f>L35*'假設'!$F$11</x:f>
        <x:v>723.1271578125</x:v>
      </x:c>
      <x:c r="M47" s="33" t="n">
        <x:f>M35*'假設'!$F$11</x:f>
        <x:v>873.0489788671875</x:v>
      </x:c>
      <x:c r="N47" s="33" t="n">
        <x:f>N35*'假設'!$F$11</x:f>
        <x:v>1019.2227543955078</x:v>
      </x:c>
      <x:c r="O47" s="33" t="n">
        <x:f>O35*'假設'!$F$11</x:f>
        <x:v>1161.7421855356201</x:v>
      </x:c>
      <x:c r="P47" s="33" t="n">
        <x:f>P35*'假設'!$F$11</x:f>
        <x:v>1300.6986308972296</x:v>
      </x:c>
      <x:c r="Q47" s="33" t="n">
        <x:f>Q35*'假設'!$F$11</x:f>
        <x:v>1436.1811651247986</x:v>
      </x:c>
      <x:c r="R47" s="33" t="n">
        <x:f>R35*'假設'!$F$11</x:f>
        <x:v>1568.2766359966788</x:v>
      </x:c>
      <x:c r="S47" s="33" t="n">
        <x:f>S35*'假設'!$F$11</x:f>
        <x:v>1697.0697200967618</x:v>
      </x:c>
      <x:c r="T47" s="33" t="n">
        <x:f>T35*'假設'!$F$11</x:f>
        <x:v>1822.642977094343</x:v>
      </x:c>
      <x:c r="U47" s="33" t="n">
        <x:f>U35*'假設'!$F$11</x:f>
        <x:v>1945.0769026669846</x:v>
      </x:c>
      <x:c r="V47" s="33" t="n">
        <x:f>V35*'假設'!$F$11</x:f>
        <x:v>2064.44998010031</x:v>
      </x:c>
      <x:c r="W47" s="33" t="n">
        <x:f>W35*'假設'!$F$11</x:f>
        <x:v>2180.838730597802</x:v>
      </x:c>
      <x:c r="X47" s="33" t="n">
        <x:f>X35*'假設'!$F$11</x:f>
        <x:v>2294.317762332857</x:v>
      </x:c>
      <x:c r="Y47" s="33" t="n">
        <x:f>Y35*'假設'!$F$11</x:f>
        <x:v>2404.4087273551427</x:v>
      </x:c>
      <x:c r="Z47" s="33" t="n">
        <x:f>Z35*'假設'!$F$11</x:f>
        <x:v>2499.3310384461083</x:v>
      </x:c>
      <x:c r="AA47" s="33" t="n">
        <x:f>AA35*'假設'!$F$11</x:f>
        <x:v>2571.0501179370594</x:v>
      </x:c>
      <x:c r="AB47" s="33" t="n">
        <x:f>AB35*'假設'!$F$11</x:f>
        <x:v>2625.237866885778</x:v>
      </x:c>
      <x:c r="AC47" s="33" t="n">
        <x:f>AC35*'假設'!$F$11</x:f>
        <x:v>2666.1797216470322</x:v>
      </x:c>
    </x:row>
    <x:row r="48" ht="23" customHeight="1">
      <x:c r="A48" s="2"/>
      <x:c r="B48" s="2"/>
      <x:c r="C48" s="2" t="str">
        <x:v>收款費</x:v>
      </x:c>
      <x:c r="D48" s="2" t="str">
        <x:v>NT$</x:v>
      </x:c>
      <x:c r="E48" s="2"/>
      <x:c r="F48" s="33" t="n">
        <x:f>F41*'假設'!$F$12</x:f>
        <x:v>0</x:v>
      </x:c>
      <x:c r="G48" s="33" t="n">
        <x:f>G41*'假設'!$F$12</x:f>
        <x:v>0</x:v>
      </x:c>
      <x:c r="H48" s="33" t="n">
        <x:f>H41*'假設'!$F$12</x:f>
        <x:v>279.468</x:v>
      </x:c>
      <x:c r="I48" s="33" t="n">
        <x:f>I41*'假設'!$F$12</x:f>
        <x:v>343.6713</x:v>
      </x:c>
      <x:c r="J48" s="33" t="n">
        <x:f>J41*'假設'!$F$12</x:f>
        <x:v>406.2695175</x:v>
      </x:c>
      <x:c r="K48" s="33" t="n">
        <x:f>K41*'假設'!$F$12</x:f>
        <x:v>467.3027795625</x:v>
      </x:c>
      <x:c r="L48" s="33" t="n">
        <x:f>L41*'假設'!$F$12</x:f>
        <x:v>526.8102100734375</x:v>
      </x:c>
      <x:c r="M48" s="33" t="n">
        <x:f>M41*'假設'!$F$12</x:f>
        <x:v>584.8299548216015</x:v>
      </x:c>
      <x:c r="N48" s="33" t="n">
        <x:f>N41*'假設'!$F$12</x:f>
        <x:v>641.3992059510615</x:v>
      </x:c>
      <x:c r="O48" s="33" t="n">
        <x:f>O41*'假設'!$F$12</x:f>
        <x:v>696.5542258022849</x:v>
      </x:c>
      <x:c r="P48" s="33" t="n">
        <x:f>P41*'假設'!$F$12</x:f>
        <x:v>750.3303701572279</x:v>
      </x:c>
      <x:c r="Q48" s="33" t="n">
        <x:f>Q41*'假設'!$F$12</x:f>
        <x:v>802.7621109032971</x:v>
      </x:c>
      <x:c r="R48" s="33" t="n">
        <x:f>R41*'假設'!$F$12</x:f>
        <x:v>853.8830581307146</x:v>
      </x:c>
      <x:c r="S48" s="33" t="n">
        <x:f>S41*'假設'!$F$12</x:f>
        <x:v>903.7259816774468</x:v>
      </x:c>
      <x:c r="T48" s="33" t="n">
        <x:f>T41*'假設'!$F$12</x:f>
        <x:v>952.3228321355107</x:v>
      </x:c>
      <x:c r="U48" s="33" t="n">
        <x:f>U41*'假設'!$F$12</x:f>
        <x:v>999.7047613321231</x:v>
      </x:c>
      <x:c r="V48" s="33" t="n">
        <x:f>V41*'假設'!$F$12</x:f>
        <x:v>1045.9021422988199</x:v>
      </x:c>
      <x:c r="W48" s="33" t="n">
        <x:f>W41*'假設'!$F$12</x:f>
        <x:v>1090.9445887413492</x:v>
      </x:c>
      <x:c r="X48" s="33" t="n">
        <x:f>X41*'假設'!$F$12</x:f>
        <x:v>1134.8609740228155</x:v>
      </x:c>
      <x:c r="Y48" s="33" t="n">
        <x:f>Y41*'假設'!$F$12</x:f>
        <x:v>1175.8459701834252</x:v>
      </x:c>
      <x:c r="Z48" s="33" t="n">
        <x:f>Z41*'假設'!$F$12</x:f>
        <x:v>1177.6969552496992</x:v>
      </x:c>
      <x:c r="AA48" s="33" t="n">
        <x:f>AA41*'假設'!$F$12</x:f>
        <x:v>1179.0954772997725</x:v>
      </x:c>
      <x:c r="AB48" s="33" t="n">
        <x:f>AB41*'假設'!$F$12</x:f>
        <x:v>1180.1521384042728</x:v>
      </x:c>
      <x:c r="AC48" s="33" t="n">
        <x:f>AC41*'假設'!$F$12</x:f>
        <x:v>1180.950504572117</x:v>
      </x:c>
    </x:row>
    <x:row r="49" ht="23" customHeight="1">
      <x:c r="A49" s="2"/>
      <x:c r="B49" s="2"/>
      <x:c r="C49" s="18" t="str">
        <x:v>營運現金支出</x:v>
      </x:c>
      <x:c r="D49" s="18" t="str">
        <x:v>NT$</x:v>
      </x:c>
      <x:c r="E49" s="18"/>
      <x:c r="F49" s="21" t="n">
        <x:f>SUM(F45:F48)</x:f>
        <x:v>4500</x:v>
      </x:c>
      <x:c r="G49" s="21" t="n">
        <x:f>SUM(G45:G48)</x:f>
        <x:v>4500</x:v>
      </x:c>
      <x:c r="H49" s="21" t="n">
        <x:f>SUM(H45:H48)</x:f>
        <x:v>4863.468</x:v>
      </x:c>
      <x:c r="I49" s="21" t="n">
        <x:f>SUM(I45:I48)</x:f>
        <x:v>5093.5713</x:v>
      </x:c>
      <x:c r="J49" s="21" t="n">
        <x:f>SUM(J45:J48)</x:f>
        <x:v>5317.9220175</x:v>
      </x:c>
      <x:c r="K49" s="21" t="n">
        <x:f>SUM(K45:K48)</x:f>
        <x:v>5536.6639670625</x:v>
      </x:c>
      <x:c r="L49" s="21" t="n">
        <x:f>SUM(L45:L48)</x:f>
        <x:v>5749.937367885937</x:v>
      </x:c>
      <x:c r="M49" s="21" t="n">
        <x:f>SUM(M45:M48)</x:f>
        <x:v>5957.878933688789</x:v>
      </x:c>
      <x:c r="N49" s="21" t="n">
        <x:f>SUM(N45:N48)</x:f>
        <x:v>6160.621960346569</x:v>
      </x:c>
      <x:c r="O49" s="21" t="n">
        <x:f>SUM(O45:O48)</x:f>
        <x:v>6358.296411337906</x:v>
      </x:c>
      <x:c r="P49" s="21" t="n">
        <x:f>SUM(P45:P48)</x:f>
        <x:v>6551.029001054458</x:v>
      </x:c>
      <x:c r="Q49" s="21" t="n">
        <x:f>SUM(Q45:Q48)</x:f>
        <x:v>6738.943276028096</x:v>
      </x:c>
      <x:c r="R49" s="21" t="n">
        <x:f>SUM(R45:R48)</x:f>
        <x:v>6922.159694127394</x:v>
      </x:c>
      <x:c r="S49" s="21" t="n">
        <x:f>SUM(S45:S48)</x:f>
        <x:v>7100.795701774208</x:v>
      </x:c>
      <x:c r="T49" s="21" t="n">
        <x:f>SUM(T45:T48)</x:f>
        <x:v>7274.965809229854</x:v>
      </x:c>
      <x:c r="U49" s="21" t="n">
        <x:f>SUM(U45:U48)</x:f>
        <x:v>7444.781663999107</x:v>
      </x:c>
      <x:c r="V49" s="21" t="n">
        <x:f>SUM(V45:V48)</x:f>
        <x:v>7610.352122399129</x:v>
      </x:c>
      <x:c r="W49" s="21" t="n">
        <x:f>SUM(W45:W48)</x:f>
        <x:v>7771.783319339152</x:v>
      </x:c>
      <x:c r="X49" s="21" t="n">
        <x:f>SUM(X45:X48)</x:f>
        <x:v>7929.178736355673</x:v>
      </x:c>
      <x:c r="Y49" s="21" t="n">
        <x:f>SUM(Y45:Y48)</x:f>
        <x:v>8080.2546975385685</x:v>
      </x:c>
      <x:c r="Z49" s="21" t="n">
        <x:f>SUM(Z45:Z48)</x:f>
        <x:v>8177.027993695808</x:v>
      </x:c>
      <x:c r="AA49" s="21" t="n">
        <x:f>SUM(AA45:AA48)</x:f>
        <x:v>8250.145595236832</x:v>
      </x:c>
      <x:c r="AB49" s="21" t="n">
        <x:f>SUM(AB45:AB48)</x:f>
        <x:v>8305.390005290052</x:v>
      </x:c>
      <x:c r="AC49" s="21" t="n">
        <x:f>SUM(AC45:AC48)</x:f>
        <x:v>8347.13022621915</x:v>
      </x:c>
    </x:row>
    <x:row r="50" ht="23" customHeight="1">
      <x:c r="A50" s="2"/>
      <x:c r="B50" s="2"/>
      <x:c r="C50" s="2" t="str">
        <x:v>營運現金利益</x:v>
      </x:c>
      <x:c r="D50" s="2" t="str">
        <x:v>NT$</x:v>
      </x:c>
      <x:c r="E50" s="2"/>
      <x:c r="F50" s="33" t="n">
        <x:f>F41-F49</x:f>
        <x:v>-4500</x:v>
      </x:c>
      <x:c r="G50" s="33" t="n">
        <x:f>G41-G49</x:f>
        <x:v>-4500</x:v>
      </x:c>
      <x:c r="H50" s="33" t="n">
        <x:f>H41-H49</x:f>
        <x:v>4452.1320000000005</x:v>
      </x:c>
      <x:c r="I50" s="33" t="n">
        <x:f>I41-I49</x:f>
        <x:v>6362.1386999999995</x:v>
      </x:c>
      <x:c r="J50" s="33" t="n">
        <x:f>J41-J49</x:f>
        <x:v>8224.3952325</x:v>
      </x:c>
      <x:c r="K50" s="33" t="n">
        <x:f>K41-K49</x:f>
        <x:v>10040.095351687502</x:v>
      </x:c>
      <x:c r="L50" s="33" t="n">
        <x:f>L41-L49</x:f>
        <x:v>11810.402967895312</x:v>
      </x:c>
      <x:c r="M50" s="33" t="n">
        <x:f>M41-M49</x:f>
        <x:v>13536.45289369793</x:v>
      </x:c>
      <x:c r="N50" s="33" t="n">
        <x:f>N41-N49</x:f>
        <x:v>15219.35157135548</x:v>
      </x:c>
      <x:c r="O50" s="33" t="n">
        <x:f>O41-O49</x:f>
        <x:v>16860.177782071594</x:v>
      </x:c>
      <x:c r="P50" s="33" t="n">
        <x:f>P41-P49</x:f>
        <x:v>18459.983337519807</x:v>
      </x:c>
      <x:c r="Q50" s="33" t="n">
        <x:f>Q41-Q49</x:f>
        <x:v>20019.79375408181</x:v>
      </x:c>
      <x:c r="R50" s="33" t="n">
        <x:f>R41-R49</x:f>
        <x:v>21540.608910229763</x:v>
      </x:c>
      <x:c r="S50" s="33" t="n">
        <x:f>S41-S49</x:f>
        <x:v>23023.40368747402</x:v>
      </x:c>
      <x:c r="T50" s="33" t="n">
        <x:f>T41-T49</x:f>
        <x:v>24469.12859528717</x:v>
      </x:c>
      <x:c r="U50" s="33" t="n">
        <x:f>U41-U49</x:f>
        <x:v>25878.710380405</x:v>
      </x:c>
      <x:c r="V50" s="33" t="n">
        <x:f>V41-V49</x:f>
        <x:v>27253.05262089487</x:v>
      </x:c>
      <x:c r="W50" s="33" t="n">
        <x:f>W41-W49</x:f>
        <x:v>28593.03630537249</x:v>
      </x:c>
      <x:c r="X50" s="33" t="n">
        <x:f>X41-X49</x:f>
        <x:v>29899.520397738183</x:v>
      </x:c>
      <x:c r="Y50" s="33" t="n">
        <x:f>Y41-Y49</x:f>
        <x:v>31114.61097524227</x:v>
      </x:c>
      <x:c r="Z50" s="33" t="n">
        <x:f>Z41-Z49</x:f>
        <x:v>31079.537181294163</x:v>
      </x:c>
      <x:c r="AA50" s="33" t="n">
        <x:f>AA41-AA49</x:f>
        <x:v>31053.03698142225</x:v>
      </x:c>
      <x:c r="AB50" s="33" t="n">
        <x:f>AB41-AB49</x:f>
        <x:v>31033.01460818571</x:v>
      </x:c>
      <x:c r="AC50" s="33" t="n">
        <x:f>AC41-AC49</x:f>
        <x:v>31017.886592851424</x:v>
      </x:c>
    </x:row>
    <x:row r="51" ht="23" customHeight="1">
      <x:c r="A51" s="2"/>
      <x:c r="B51" s="2"/>
      <x:c r="C51" s="2" t="str">
        <x:v>一次性啟動現金支出</x:v>
      </x:c>
      <x:c r="D51" s="2" t="str">
        <x:v>NT$</x:v>
      </x:c>
      <x:c r="E51" s="2"/>
      <x:c r="F51" s="33" t="n">
        <x:f>'假設'!$F$9</x:f>
        <x:v>30000</x:v>
      </x:c>
      <x:c r="G51" s="33" t="n">
        <x:f>0</x:f>
        <x:v>0</x:v>
      </x:c>
      <x:c r="H51" s="33" t="n">
        <x:f>0</x:f>
        <x:v>0</x:v>
      </x:c>
      <x:c r="I51" s="33" t="n">
        <x:f>0</x:f>
        <x:v>0</x:v>
      </x:c>
      <x:c r="J51" s="33" t="n">
        <x:f>0</x:f>
        <x:v>0</x:v>
      </x:c>
      <x:c r="K51" s="33" t="n">
        <x:f>0</x:f>
        <x:v>0</x:v>
      </x:c>
      <x:c r="L51" s="33" t="n">
        <x:f>0</x:f>
        <x:v>0</x:v>
      </x:c>
      <x:c r="M51" s="33" t="n">
        <x:f>0</x:f>
        <x:v>0</x:v>
      </x:c>
      <x:c r="N51" s="33" t="n">
        <x:f>0</x:f>
        <x:v>0</x:v>
      </x:c>
      <x:c r="O51" s="33" t="n">
        <x:f>0</x:f>
        <x:v>0</x:v>
      </x:c>
      <x:c r="P51" s="33" t="n">
        <x:f>0</x:f>
        <x:v>0</x:v>
      </x:c>
      <x:c r="Q51" s="33" t="n">
        <x:f>0</x:f>
        <x:v>0</x:v>
      </x:c>
      <x:c r="R51" s="33" t="n">
        <x:f>0</x:f>
        <x:v>0</x:v>
      </x:c>
      <x:c r="S51" s="33" t="n">
        <x:f>0</x:f>
        <x:v>0</x:v>
      </x:c>
      <x:c r="T51" s="33" t="n">
        <x:f>0</x:f>
        <x:v>0</x:v>
      </x:c>
      <x:c r="U51" s="33" t="n">
        <x:f>0</x:f>
        <x:v>0</x:v>
      </x:c>
      <x:c r="V51" s="33" t="n">
        <x:f>0</x:f>
        <x:v>0</x:v>
      </x:c>
      <x:c r="W51" s="33" t="n">
        <x:f>0</x:f>
        <x:v>0</x:v>
      </x:c>
      <x:c r="X51" s="33" t="n">
        <x:f>0</x:f>
        <x:v>0</x:v>
      </x:c>
      <x:c r="Y51" s="33" t="n">
        <x:f>0</x:f>
        <x:v>0</x:v>
      </x:c>
      <x:c r="Z51" s="33" t="n">
        <x:f>0</x:f>
        <x:v>0</x:v>
      </x:c>
      <x:c r="AA51" s="33" t="n">
        <x:f>0</x:f>
        <x:v>0</x:v>
      </x:c>
      <x:c r="AB51" s="33" t="n">
        <x:f>0</x:f>
        <x:v>0</x:v>
      </x:c>
      <x:c r="AC51" s="33" t="n">
        <x:f>0</x:f>
        <x:v>0</x:v>
      </x:c>
    </x:row>
    <x:row r="52" ht="23" customHeight="1">
      <x:c r="A52" s="2"/>
      <x:c r="B52" s="2"/>
      <x:c r="C52" s="18" t="str">
        <x:v>本月現金增減</x:v>
      </x:c>
      <x:c r="D52" s="18" t="str">
        <x:v>NT$</x:v>
      </x:c>
      <x:c r="E52" s="18"/>
      <x:c r="F52" s="21" t="n">
        <x:f>F50-F51</x:f>
        <x:v>-34500</x:v>
      </x:c>
      <x:c r="G52" s="21" t="n">
        <x:f>G50-G51</x:f>
        <x:v>-4500</x:v>
      </x:c>
      <x:c r="H52" s="21" t="n">
        <x:f>H50-H51</x:f>
        <x:v>4452.1320000000005</x:v>
      </x:c>
      <x:c r="I52" s="21" t="n">
        <x:f>I50-I51</x:f>
        <x:v>6362.1386999999995</x:v>
      </x:c>
      <x:c r="J52" s="21" t="n">
        <x:f>J50-J51</x:f>
        <x:v>8224.3952325</x:v>
      </x:c>
      <x:c r="K52" s="21" t="n">
        <x:f>K50-K51</x:f>
        <x:v>10040.095351687502</x:v>
      </x:c>
      <x:c r="L52" s="21" t="n">
        <x:f>L50-L51</x:f>
        <x:v>11810.402967895312</x:v>
      </x:c>
      <x:c r="M52" s="21" t="n">
        <x:f>M50-M51</x:f>
        <x:v>13536.45289369793</x:v>
      </x:c>
      <x:c r="N52" s="21" t="n">
        <x:f>N50-N51</x:f>
        <x:v>15219.35157135548</x:v>
      </x:c>
      <x:c r="O52" s="21" t="n">
        <x:f>O50-O51</x:f>
        <x:v>16860.177782071594</x:v>
      </x:c>
      <x:c r="P52" s="21" t="n">
        <x:f>P50-P51</x:f>
        <x:v>18459.983337519807</x:v>
      </x:c>
      <x:c r="Q52" s="21" t="n">
        <x:f>Q50-Q51</x:f>
        <x:v>20019.79375408181</x:v>
      </x:c>
      <x:c r="R52" s="21" t="n">
        <x:f>R50-R51</x:f>
        <x:v>21540.608910229763</x:v>
      </x:c>
      <x:c r="S52" s="21" t="n">
        <x:f>S50-S51</x:f>
        <x:v>23023.40368747402</x:v>
      </x:c>
      <x:c r="T52" s="21" t="n">
        <x:f>T50-T51</x:f>
        <x:v>24469.12859528717</x:v>
      </x:c>
      <x:c r="U52" s="21" t="n">
        <x:f>U50-U51</x:f>
        <x:v>25878.710380405</x:v>
      </x:c>
      <x:c r="V52" s="21" t="n">
        <x:f>V50-V51</x:f>
        <x:v>27253.05262089487</x:v>
      </x:c>
      <x:c r="W52" s="21" t="n">
        <x:f>W50-W51</x:f>
        <x:v>28593.03630537249</x:v>
      </x:c>
      <x:c r="X52" s="21" t="n">
        <x:f>X50-X51</x:f>
        <x:v>29899.520397738183</x:v>
      </x:c>
      <x:c r="Y52" s="21" t="n">
        <x:f>Y50-Y51</x:f>
        <x:v>31114.61097524227</x:v>
      </x:c>
      <x:c r="Z52" s="21" t="n">
        <x:f>Z50-Z51</x:f>
        <x:v>31079.537181294163</x:v>
      </x:c>
      <x:c r="AA52" s="21" t="n">
        <x:f>AA50-AA51</x:f>
        <x:v>31053.03698142225</x:v>
      </x:c>
      <x:c r="AB52" s="21" t="n">
        <x:f>AB50-AB51</x:f>
        <x:v>31033.01460818571</x:v>
      </x:c>
      <x:c r="AC52" s="21" t="n">
        <x:f>AC50-AC51</x:f>
        <x:v>31017.886592851424</x:v>
      </x:c>
    </x:row>
    <x:row r="53" ht="23" customHeight="1">
      <x:c r="A53" s="2"/>
      <x:c r="B53" s="2"/>
      <x:c r="C53" s="18" t="str">
        <x:v>累計現金增減</x:v>
      </x:c>
      <x:c r="D53" s="18" t="str">
        <x:v>NT$</x:v>
      </x:c>
      <x:c r="E53" s="18"/>
      <x:c r="F53" s="21" t="n">
        <x:f>F52</x:f>
        <x:v>-34500</x:v>
      </x:c>
      <x:c r="G53" s="21" t="n">
        <x:f>F53+G52</x:f>
        <x:v>-39000</x:v>
      </x:c>
      <x:c r="H53" s="21" t="n">
        <x:f>G53+H52</x:f>
        <x:v>-34547.868</x:v>
      </x:c>
      <x:c r="I53" s="21" t="n">
        <x:f>H53+I52</x:f>
        <x:v>-28185.729300000003</x:v>
      </x:c>
      <x:c r="J53" s="21" t="n">
        <x:f>I53+J52</x:f>
        <x:v>-19961.334067500004</x:v>
      </x:c>
      <x:c r="K53" s="21" t="n">
        <x:f>J53+K52</x:f>
        <x:v>-9921.238715812502</x:v>
      </x:c>
      <x:c r="L53" s="21" t="n">
        <x:f>K53+L52</x:f>
        <x:v>1889.16425208281</x:v>
      </x:c>
      <x:c r="M53" s="21" t="n">
        <x:f>L53+M52</x:f>
        <x:v>15425.61714578074</x:v>
      </x:c>
      <x:c r="N53" s="21" t="n">
        <x:f>M53+N52</x:f>
        <x:v>30644.96871713622</x:v>
      </x:c>
      <x:c r="O53" s="21" t="n">
        <x:f>N53+O52</x:f>
        <x:v>47505.14649920781</x:v>
      </x:c>
      <x:c r="P53" s="21" t="n">
        <x:f>O53+P52</x:f>
        <x:v>65965.12983672762</x:v>
      </x:c>
      <x:c r="Q53" s="21" t="n">
        <x:f>P53+Q52</x:f>
        <x:v>85984.92359080943</x:v>
      </x:c>
      <x:c r="R53" s="21" t="n">
        <x:f>Q53+R52</x:f>
        <x:v>107525.53250103918</x:v>
      </x:c>
      <x:c r="S53" s="21" t="n">
        <x:f>R53+S52</x:f>
        <x:v>130548.93618851321</x:v>
      </x:c>
      <x:c r="T53" s="21" t="n">
        <x:f>S53+T52</x:f>
        <x:v>155018.0647838004</x:v>
      </x:c>
      <x:c r="U53" s="21" t="n">
        <x:f>T53+U52</x:f>
        <x:v>180896.7751642054</x:v>
      </x:c>
      <x:c r="V53" s="21" t="n">
        <x:f>U53+V52</x:f>
        <x:v>208149.82778510026</x:v>
      </x:c>
      <x:c r="W53" s="21" t="n">
        <x:f>V53+W52</x:f>
        <x:v>236742.86409047275</x:v>
      </x:c>
      <x:c r="X53" s="21" t="n">
        <x:f>W53+X52</x:f>
        <x:v>266642.38448821096</x:v>
      </x:c>
      <x:c r="Y53" s="21" t="n">
        <x:f>X53+Y52</x:f>
        <x:v>297756.99546345323</x:v>
      </x:c>
      <x:c r="Z53" s="21" t="n">
        <x:f>Y53+Z52</x:f>
        <x:v>328836.5326447474</x:v>
      </x:c>
      <x:c r="AA53" s="21" t="n">
        <x:f>Z53+AA52</x:f>
        <x:v>359889.5696261696</x:v>
      </x:c>
      <x:c r="AB53" s="21" t="n">
        <x:f>AA53+AB52</x:f>
        <x:v>390922.58423435537</x:v>
      </x:c>
      <x:c r="AC53" s="21" t="n">
        <x:f>AB53+AC52</x:f>
        <x:v>421940.4708272068</x:v>
      </x:c>
    </x:row>
    <x:row r="54" ht="23" customHeight="1">
      <x:c r="A54" s="2"/>
      <x:c r="B54" s="2"/>
      <x:c r="C54" s="2" t="str">
        <x:v>創辦人時間成本</x:v>
      </x:c>
      <x:c r="D54" s="2" t="str">
        <x:v>NT$</x:v>
      </x:c>
      <x:c r="E54" s="2"/>
      <x:c r="F54" s="33" t="n">
        <x:f>F36*'假設'!$F$13</x:f>
        <x:v>23040</x:v>
      </x:c>
      <x:c r="G54" s="33" t="n">
        <x:f>G36*'假設'!$F$13</x:f>
        <x:v>24384</x:v>
      </x:c>
      <x:c r="H54" s="33" t="n">
        <x:f>H36*'假設'!$F$13</x:f>
        <x:v>26652.000000000004</x:v>
      </x:c>
      <x:c r="I54" s="33" t="n">
        <x:f>I36*'假設'!$F$13</x:f>
        <x:v>22349.699999999997</x:v>
      </x:c>
      <x:c r="J54" s="33" t="n">
        <x:f>J36*'假設'!$F$13</x:f>
        <x:v>22834.9575</x:v>
      </x:c>
      <x:c r="K54" s="33" t="n">
        <x:f>K36*'假設'!$F$13</x:f>
        <x:v>23308.0835625</x:v>
      </x:c>
      <x:c r="L54" s="33" t="n">
        <x:f>L36*'假設'!$F$13</x:f>
        <x:v>23769.3814734375</x:v>
      </x:c>
      <x:c r="M54" s="33" t="n">
        <x:f>M36*'假設'!$F$13</x:f>
        <x:v>24219.146936601563</x:v>
      </x:c>
      <x:c r="N54" s="33" t="n">
        <x:f>N36*'假設'!$F$13</x:f>
        <x:v>24657.668263186522</x:v>
      </x:c>
      <x:c r="O54" s="33" t="n">
        <x:f>O36*'假設'!$F$13</x:f>
        <x:v>25085.22655660686</x:v>
      </x:c>
      <x:c r="P54" s="33" t="n">
        <x:f>P36*'假設'!$F$13</x:f>
        <x:v>25502.09589269169</x:v>
      </x:c>
      <x:c r="Q54" s="33" t="n">
        <x:f>Q36*'假設'!$F$13</x:f>
        <x:v>25908.543495374397</x:v>
      </x:c>
      <x:c r="R54" s="33" t="n">
        <x:f>R36*'假設'!$F$13</x:f>
        <x:v>26304.82990799004</x:v>
      </x:c>
      <x:c r="S54" s="33" t="n">
        <x:f>S36*'假設'!$F$13</x:f>
        <x:v>26691.209160290287</x:v>
      </x:c>
      <x:c r="T54" s="33" t="n">
        <x:f>T36*'假設'!$F$13</x:f>
        <x:v>27067.92893128303</x:v>
      </x:c>
      <x:c r="U54" s="33" t="n">
        <x:f>U36*'假設'!$F$13</x:f>
        <x:v>27435.230708000956</x:v>
      </x:c>
      <x:c r="V54" s="33" t="n">
        <x:f>V36*'假設'!$F$13</x:f>
        <x:v>27793.34994030093</x:v>
      </x:c>
      <x:c r="W54" s="33" t="n">
        <x:f>W36*'假設'!$F$13</x:f>
        <x:v>28142.51619179341</x:v>
      </x:c>
      <x:c r="X54" s="33" t="n">
        <x:f>X36*'假設'!$F$13</x:f>
        <x:v>28482.95328699857</x:v>
      </x:c>
      <x:c r="Y54" s="33" t="n">
        <x:f>Y36*'假設'!$F$13</x:f>
        <x:v>28800</x:v>
      </x:c>
      <x:c r="Z54" s="33" t="n">
        <x:f>Z36*'假設'!$F$13</x:f>
        <x:v>28800</x:v>
      </x:c>
      <x:c r="AA54" s="33" t="n">
        <x:f>AA36*'假設'!$F$13</x:f>
        <x:v>28800</x:v>
      </x:c>
      <x:c r="AB54" s="33" t="n">
        <x:f>AB36*'假設'!$F$13</x:f>
        <x:v>28800</x:v>
      </x:c>
      <x:c r="AC54" s="33" t="n">
        <x:f>AC36*'假設'!$F$13</x:f>
        <x:v>28800</x:v>
      </x:c>
    </x:row>
    <x:row r="55" ht="23" customHeight="1">
      <x:c r="A55" s="2"/>
      <x:c r="B55" s="2"/>
      <x:c r="C55" s="18" t="str">
        <x:v>含時間成本損益</x:v>
      </x:c>
      <x:c r="D55" s="18" t="str">
        <x:v>NT$</x:v>
      </x:c>
      <x:c r="E55" s="18"/>
      <x:c r="F55" s="21" t="n">
        <x:f>F52-F54</x:f>
        <x:v>-57540</x:v>
      </x:c>
      <x:c r="G55" s="21" t="n">
        <x:f>G52-G54</x:f>
        <x:v>-28884</x:v>
      </x:c>
      <x:c r="H55" s="21" t="n">
        <x:f>H52-H54</x:f>
        <x:v>-22199.868000000002</x:v>
      </x:c>
      <x:c r="I55" s="21" t="n">
        <x:f>I52-I54</x:f>
        <x:v>-15987.561299999998</x:v>
      </x:c>
      <x:c r="J55" s="21" t="n">
        <x:f>J52-J54</x:f>
        <x:v>-14610.562267500001</x:v>
      </x:c>
      <x:c r="K55" s="21" t="n">
        <x:f>K52-K54</x:f>
        <x:v>-13267.988210812498</x:v>
      </x:c>
      <x:c r="L55" s="21" t="n">
        <x:f>L52-L54</x:f>
        <x:v>-11958.978505542189</x:v>
      </x:c>
      <x:c r="M55" s="21" t="n">
        <x:f>M52-M54</x:f>
        <x:v>-10682.694042903633</x:v>
      </x:c>
      <x:c r="N55" s="21" t="n">
        <x:f>N52-N54</x:f>
        <x:v>-9438.316691831042</x:v>
      </x:c>
      <x:c r="O55" s="21" t="n">
        <x:f>O52-O54</x:f>
        <x:v>-8225.048774535266</x:v>
      </x:c>
      <x:c r="P55" s="21" t="n">
        <x:f>P52-P54</x:f>
        <x:v>-7042.112555171883</x:v>
      </x:c>
      <x:c r="Q55" s="21" t="n">
        <x:f>Q52-Q54</x:f>
        <x:v>-5888.749741292588</x:v>
      </x:c>
      <x:c r="R55" s="21" t="n">
        <x:f>R52-R54</x:f>
        <x:v>-4764.220997760276</x:v>
      </x:c>
      <x:c r="S55" s="21" t="n">
        <x:f>S52-S54</x:f>
        <x:v>-3667.805472816268</x:v>
      </x:c>
      <x:c r="T55" s="21" t="n">
        <x:f>T52-T54</x:f>
        <x:v>-2598.80033599586</x:v>
      </x:c>
      <x:c r="U55" s="21" t="n">
        <x:f>U52-U54</x:f>
        <x:v>-1556.5203275959575</x:v>
      </x:c>
      <x:c r="V55" s="21" t="n">
        <x:f>V52-V54</x:f>
        <x:v>-540.2973194060614</x:v>
      </x:c>
      <x:c r="W55" s="21" t="n">
        <x:f>W52-W54</x:f>
        <x:v>450.5201135790812</x:v>
      </x:c>
      <x:c r="X55" s="21" t="n">
        <x:f>X52-X54</x:f>
        <x:v>1416.567110739612</x:v>
      </x:c>
      <x:c r="Y55" s="21" t="n">
        <x:f>Y52-Y54</x:f>
        <x:v>2314.610975242271</x:v>
      </x:c>
      <x:c r="Z55" s="21" t="n">
        <x:f>Z52-Z54</x:f>
        <x:v>2279.537181294163</x:v>
      </x:c>
      <x:c r="AA55" s="21" t="n">
        <x:f>AA52-AA54</x:f>
        <x:v>2253.0369814222504</x:v>
      </x:c>
      <x:c r="AB55" s="21" t="n">
        <x:f>AB52-AB54</x:f>
        <x:v>2233.014608185709</x:v>
      </x:c>
      <x:c r="AC55" s="21" t="n">
        <x:f>AC52-AC54</x:f>
        <x:v>2217.886592851424</x:v>
      </x:c>
    </x:row>
    <x:row r="56" ht="23" customHeight="1">
      <x:c r="A56" s="2"/>
      <x:c r="B56" s="2"/>
      <x:c r="C56" s="18" t="str">
        <x:v>累計含時間成本損益</x:v>
      </x:c>
      <x:c r="D56" s="18" t="str">
        <x:v>NT$</x:v>
      </x:c>
      <x:c r="E56" s="18"/>
      <x:c r="F56" s="21" t="n">
        <x:f>F55</x:f>
        <x:v>-57540</x:v>
      </x:c>
      <x:c r="G56" s="21" t="n">
        <x:f>F56+G55</x:f>
        <x:v>-86424</x:v>
      </x:c>
      <x:c r="H56" s="21" t="n">
        <x:f>G56+H55</x:f>
        <x:v>-108623.868</x:v>
      </x:c>
      <x:c r="I56" s="21" t="n">
        <x:f>H56+I55</x:f>
        <x:v>-124611.4293</x:v>
      </x:c>
      <x:c r="J56" s="21" t="n">
        <x:f>I56+J55</x:f>
        <x:v>-139221.9915675</x:v>
      </x:c>
      <x:c r="K56" s="21" t="n">
        <x:f>J56+K55</x:f>
        <x:v>-152489.9797783125</x:v>
      </x:c>
      <x:c r="L56" s="21" t="n">
        <x:f>K56+L55</x:f>
        <x:v>-164448.95828385468</x:v>
      </x:c>
      <x:c r="M56" s="21" t="n">
        <x:f>L56+M55</x:f>
        <x:v>-175131.6523267583</x:v>
      </x:c>
      <x:c r="N56" s="21" t="n">
        <x:f>M56+N55</x:f>
        <x:v>-184569.96901858936</x:v>
      </x:c>
      <x:c r="O56" s="21" t="n">
        <x:f>N56+O55</x:f>
        <x:v>-192795.01779312463</x:v>
      </x:c>
      <x:c r="P56" s="21" t="n">
        <x:f>O56+P55</x:f>
        <x:v>-199837.13034829652</x:v>
      </x:c>
      <x:c r="Q56" s="21" t="n">
        <x:f>P56+Q55</x:f>
        <x:v>-205725.8800895891</x:v>
      </x:c>
      <x:c r="R56" s="21" t="n">
        <x:f>Q56+R55</x:f>
        <x:v>-210490.10108734938</x:v>
      </x:c>
      <x:c r="S56" s="21" t="n">
        <x:f>R56+S55</x:f>
        <x:v>-214157.90656016563</x:v>
      </x:c>
      <x:c r="T56" s="21" t="n">
        <x:f>S56+T55</x:f>
        <x:v>-216756.7068961615</x:v>
      </x:c>
      <x:c r="U56" s="21" t="n">
        <x:f>T56+U55</x:f>
        <x:v>-218313.22722375745</x:v>
      </x:c>
      <x:c r="V56" s="21" t="n">
        <x:f>U56+V55</x:f>
        <x:v>-218853.5245431635</x:v>
      </x:c>
      <x:c r="W56" s="21" t="n">
        <x:f>V56+W55</x:f>
        <x:v>-218403.00442958443</x:v>
      </x:c>
      <x:c r="X56" s="21" t="n">
        <x:f>W56+X55</x:f>
        <x:v>-216986.4373188448</x:v>
      </x:c>
      <x:c r="Y56" s="21" t="n">
        <x:f>X56+Y55</x:f>
        <x:v>-214671.82634360253</x:v>
      </x:c>
      <x:c r="Z56" s="21" t="n">
        <x:f>Y56+Z55</x:f>
        <x:v>-212392.28916230836</x:v>
      </x:c>
      <x:c r="AA56" s="21" t="n">
        <x:f>Z56+AA55</x:f>
        <x:v>-210139.2521808861</x:v>
      </x:c>
      <x:c r="AB56" s="21" t="n">
        <x:f>AA56+AB55</x:f>
        <x:v>-207906.2375727004</x:v>
      </x:c>
      <x:c r="AC56" s="21" t="n">
        <x:f>AB56+AC55</x:f>
        <x:v>-205688.35097984897</x:v>
      </x:c>
    </x:row>
    <x:row r="57" ht="23" customHeight="1">
      <x:c r="A57" s="2"/>
      <x:c r="B57" s="2"/>
      <x:c r="C57" s="2" t="str">
        <x:v>排除導入費的現金利益</x:v>
      </x:c>
      <x:c r="D57" s="2" t="str">
        <x:v>NT$</x:v>
      </x:c>
      <x:c r="E57" s="2"/>
      <x:c r="F57" s="33" t="n">
        <x:f>F50-F40*(1-'假設'!$F$12)</x:f>
        <x:v>-4500</x:v>
      </x:c>
      <x:c r="G57" s="33" t="n">
        <x:f>G50-G40*(1-'假設'!$F$12)</x:f>
        <x:v>-4500</x:v>
      </x:c>
      <x:c r="H57" s="33" t="n">
        <x:f>H50-H40*(1-'假設'!$F$12)</x:f>
        <x:v>-3532.9079999999994</x:v>
      </x:c>
      <x:c r="I57" s="33" t="n">
        <x:f>I50-I40*(1-'假設'!$F$12)</x:f>
        <x:v>-1622.9013000000004</x:v>
      </x:c>
      <x:c r="J57" s="33" t="n">
        <x:f>J50-J40*(1-'假設'!$F$12)</x:f>
        <x:v>239.35523249999915</x:v>
      </x:c>
      <x:c r="K57" s="33" t="n">
        <x:f>K50-K40*(1-'假設'!$F$12)</x:f>
        <x:v>2055.0553516875016</x:v>
      </x:c>
      <x:c r="L57" s="33" t="n">
        <x:f>L50-L40*(1-'假設'!$F$12)</x:f>
        <x:v>3825.362967895312</x:v>
      </x:c>
      <x:c r="M57" s="33" t="n">
        <x:f>M50-M40*(1-'假設'!$F$12)</x:f>
        <x:v>5551.41289369793</x:v>
      </x:c>
      <x:c r="N57" s="33" t="n">
        <x:f>N50-N40*(1-'假設'!$F$12)</x:f>
        <x:v>7234.311571355481</x:v>
      </x:c>
      <x:c r="O57" s="33" t="n">
        <x:f>O50-O40*(1-'假設'!$F$12)</x:f>
        <x:v>8875.137782071593</x:v>
      </x:c>
      <x:c r="P57" s="33" t="n">
        <x:f>P50-P40*(1-'假設'!$F$12)</x:f>
        <x:v>10474.943337519806</x:v>
      </x:c>
      <x:c r="Q57" s="33" t="n">
        <x:f>Q50-Q40*(1-'假設'!$F$12)</x:f>
        <x:v>12034.753754081808</x:v>
      </x:c>
      <x:c r="R57" s="33" t="n">
        <x:f>R50-R40*(1-'假設'!$F$12)</x:f>
        <x:v>13555.568910229762</x:v>
      </x:c>
      <x:c r="S57" s="33" t="n">
        <x:f>S50-S40*(1-'假設'!$F$12)</x:f>
        <x:v>15038.363687474019</x:v>
      </x:c>
      <x:c r="T57" s="33" t="n">
        <x:f>T50-T40*(1-'假設'!$F$12)</x:f>
        <x:v>16484.08859528717</x:v>
      </x:c>
      <x:c r="U57" s="33" t="n">
        <x:f>U50-U40*(1-'假設'!$F$12)</x:f>
        <x:v>17893.670380404998</x:v>
      </x:c>
      <x:c r="V57" s="33" t="n">
        <x:f>V50-V40*(1-'假設'!$F$12)</x:f>
        <x:v>19268.012620894868</x:v>
      </x:c>
      <x:c r="W57" s="33" t="n">
        <x:f>W50-W40*(1-'假設'!$F$12)</x:f>
        <x:v>20607.99630537249</x:v>
      </x:c>
      <x:c r="X57" s="33" t="n">
        <x:f>X50-X40*(1-'假設'!$F$12)</x:f>
        <x:v>21914.48039773818</x:v>
      </x:c>
      <x:c r="Y57" s="33" t="n">
        <x:f>Y50-Y40*(1-'假設'!$F$12)</x:f>
        <x:v>23181.95767803976</x:v>
      </x:c>
      <x:c r="Z57" s="33" t="n">
        <x:f>Z50-Z40*(1-'假設'!$F$12)</x:f>
        <x:v>24274.798245630045</x:v>
      </x:c>
      <x:c r="AA57" s="33" t="n">
        <x:f>AA50-AA40*(1-'假設'!$F$12)</x:f>
        <x:v>25100.500007809365</x:v>
      </x:c>
      <x:c r="AB57" s="33" t="n">
        <x:f>AB50-AB40*(1-'假設'!$F$12)</x:f>
        <x:v>25724.36356145597</x:v>
      </x:c>
      <x:c r="AC57" s="33" t="n">
        <x:f>AC50-AC40*(1-'假設'!$F$12)</x:f>
        <x:v>26195.727135322282</x:v>
      </x:c>
    </x:row>
    <x:row r="58" ht="23" customHeight="1">
      <x:c r="A58" s="2"/>
      <x:c r="B58" s="2"/>
      <x:c r="C58" s="2" t="str">
        <x:v>排除導入費與計時損益</x:v>
      </x:c>
      <x:c r="D58" s="2" t="str">
        <x:v>NT$</x:v>
      </x:c>
      <x:c r="E58" s="2"/>
      <x:c r="F58" s="33" t="n">
        <x:f>F57-F54</x:f>
        <x:v>-27540</x:v>
      </x:c>
      <x:c r="G58" s="33" t="n">
        <x:f>G57-G54</x:f>
        <x:v>-28884</x:v>
      </x:c>
      <x:c r="H58" s="33" t="n">
        <x:f>H57-H54</x:f>
        <x:v>-30184.908000000003</x:v>
      </x:c>
      <x:c r="I58" s="33" t="n">
        <x:f>I57-I54</x:f>
        <x:v>-23972.6013</x:v>
      </x:c>
      <x:c r="J58" s="33" t="n">
        <x:f>J57-J54</x:f>
        <x:v>-22595.602267500002</x:v>
      </x:c>
      <x:c r="K58" s="33" t="n">
        <x:f>K57-K54</x:f>
        <x:v>-21253.0282108125</x:v>
      </x:c>
      <x:c r="L58" s="33" t="n">
        <x:f>L57-L54</x:f>
        <x:v>-19944.01850554219</x:v>
      </x:c>
      <x:c r="M58" s="33" t="n">
        <x:f>M57-M54</x:f>
        <x:v>-18667.734042903634</x:v>
      </x:c>
      <x:c r="N58" s="33" t="n">
        <x:f>N57-N54</x:f>
        <x:v>-17423.356691831043</x:v>
      </x:c>
      <x:c r="O58" s="33" t="n">
        <x:f>O57-O54</x:f>
        <x:v>-16210.088774535267</x:v>
      </x:c>
      <x:c r="P58" s="33" t="n">
        <x:f>P57-P54</x:f>
        <x:v>-15027.152555171884</x:v>
      </x:c>
      <x:c r="Q58" s="33" t="n">
        <x:f>Q57-Q54</x:f>
        <x:v>-13873.789741292589</x:v>
      </x:c>
      <x:c r="R58" s="33" t="n">
        <x:f>R57-R54</x:f>
        <x:v>-12749.260997760277</x:v>
      </x:c>
      <x:c r="S58" s="33" t="n">
        <x:f>S57-S54</x:f>
        <x:v>-11652.845472816269</x:v>
      </x:c>
      <x:c r="T58" s="33" t="n">
        <x:f>T57-T54</x:f>
        <x:v>-10583.840335995861</x:v>
      </x:c>
      <x:c r="U58" s="33" t="n">
        <x:f>U57-U54</x:f>
        <x:v>-9541.560327595958</x:v>
      </x:c>
      <x:c r="V58" s="33" t="n">
        <x:f>V57-V54</x:f>
        <x:v>-8525.337319406062</x:v>
      </x:c>
      <x:c r="W58" s="33" t="n">
        <x:f>W57-W54</x:f>
        <x:v>-7534.51988642092</x:v>
      </x:c>
      <x:c r="X58" s="33" t="n">
        <x:f>X57-X54</x:f>
        <x:v>-6568.472889260389</x:v>
      </x:c>
      <x:c r="Y58" s="33" t="n">
        <x:f>Y57-Y54</x:f>
        <x:v>-5618.042321960242</x:v>
      </x:c>
      <x:c r="Z58" s="33" t="n">
        <x:f>Z57-Z54</x:f>
        <x:v>-4525.201754369955</x:v>
      </x:c>
      <x:c r="AA58" s="33" t="n">
        <x:f>AA57-AA54</x:f>
        <x:v>-3699.4999921906347</x:v>
      </x:c>
      <x:c r="AB58" s="33" t="n">
        <x:f>AB57-AB54</x:f>
        <x:v>-3075.6364385440284</x:v>
      </x:c>
      <x:c r="AC58" s="33" t="n">
        <x:f>AC57-AC54</x:f>
        <x:v>-2604.2728646777177</x:v>
      </x:c>
    </x:row>
    <x:row r="59" ht="23" customHeight="1">
      <x:c r="A59" s="2"/>
      <x:c r="B59" s="2"/>
      <x:c r="C59" s="2" t="str">
        <x:v>本月總現金支出</x:v>
      </x:c>
      <x:c r="D59" s="2" t="str">
        <x:v>NT$</x:v>
      </x:c>
      <x:c r="E59" s="2"/>
      <x:c r="F59" s="33" t="n">
        <x:f>F49+F51</x:f>
        <x:v>34500</x:v>
      </x:c>
      <x:c r="G59" s="33" t="n">
        <x:f>G49+G51</x:f>
        <x:v>4500</x:v>
      </x:c>
      <x:c r="H59" s="33" t="n">
        <x:f>H49+H51</x:f>
        <x:v>4863.468</x:v>
      </x:c>
      <x:c r="I59" s="33" t="n">
        <x:f>I49+I51</x:f>
        <x:v>5093.5713</x:v>
      </x:c>
      <x:c r="J59" s="33" t="n">
        <x:f>J49+J51</x:f>
        <x:v>5317.9220175</x:v>
      </x:c>
      <x:c r="K59" s="33" t="n">
        <x:f>K49+K51</x:f>
        <x:v>5536.6639670625</x:v>
      </x:c>
      <x:c r="L59" s="33" t="n">
        <x:f>L49+L51</x:f>
        <x:v>5749.937367885937</x:v>
      </x:c>
      <x:c r="M59" s="33" t="n">
        <x:f>M49+M51</x:f>
        <x:v>5957.878933688789</x:v>
      </x:c>
      <x:c r="N59" s="33" t="n">
        <x:f>N49+N51</x:f>
        <x:v>6160.621960346569</x:v>
      </x:c>
      <x:c r="O59" s="33" t="n">
        <x:f>O49+O51</x:f>
        <x:v>6358.296411337906</x:v>
      </x:c>
      <x:c r="P59" s="33" t="n">
        <x:f>P49+P51</x:f>
        <x:v>6551.029001054458</x:v>
      </x:c>
      <x:c r="Q59" s="33" t="n">
        <x:f>Q49+Q51</x:f>
        <x:v>6738.943276028096</x:v>
      </x:c>
      <x:c r="R59" s="33" t="n">
        <x:f>R49+R51</x:f>
        <x:v>6922.159694127394</x:v>
      </x:c>
      <x:c r="S59" s="33" t="n">
        <x:f>S49+S51</x:f>
        <x:v>7100.795701774208</x:v>
      </x:c>
      <x:c r="T59" s="33" t="n">
        <x:f>T49+T51</x:f>
        <x:v>7274.965809229854</x:v>
      </x:c>
      <x:c r="U59" s="33" t="n">
        <x:f>U49+U51</x:f>
        <x:v>7444.781663999107</x:v>
      </x:c>
      <x:c r="V59" s="33" t="n">
        <x:f>V49+V51</x:f>
        <x:v>7610.352122399129</x:v>
      </x:c>
      <x:c r="W59" s="33" t="n">
        <x:f>W49+W51</x:f>
        <x:v>7771.783319339152</x:v>
      </x:c>
      <x:c r="X59" s="33" t="n">
        <x:f>X49+X51</x:f>
        <x:v>7929.178736355673</x:v>
      </x:c>
      <x:c r="Y59" s="33" t="n">
        <x:f>Y49+Y51</x:f>
        <x:v>8080.2546975385685</x:v>
      </x:c>
      <x:c r="Z59" s="33" t="n">
        <x:f>Z49+Z51</x:f>
        <x:v>8177.027993695808</x:v>
      </x:c>
      <x:c r="AA59" s="33" t="n">
        <x:f>AA49+AA51</x:f>
        <x:v>8250.145595236832</x:v>
      </x:c>
      <x:c r="AB59" s="33" t="n">
        <x:f>AB49+AB51</x:f>
        <x:v>8305.390005290052</x:v>
      </x:c>
      <x:c r="AC59" s="33" t="n">
        <x:f>AC49+AC51</x:f>
        <x:v>8347.13022621915</x:v>
      </x:c>
    </x:row>
    <x:row r="60" ht="23" customHeight="1">
      <x:c r="A60" s="2"/>
      <x:c r="B60" s="2"/>
      <x:c r="C60" s="2" t="str">
        <x:v>超出容量提醒</x:v>
      </x:c>
      <x:c r="D60" s="2" t="str">
        <x:v>文字</x:v>
      </x:c>
      <x:c r="E60" s="2"/>
      <x:c r="F60" s="32" t="str">
        <x:f>IF(F33&gt;0.001,"導入受限","")</x:f>
      </x:c>
      <x:c r="G60" s="32" t="str">
        <x:f>IF(G33&gt;0.001,"導入受限","")</x:f>
      </x:c>
      <x:c r="H60" s="32" t="str">
        <x:f>IF(H33&gt;0.001,"導入受限","")</x:f>
      </x:c>
      <x:c r="I60" s="32" t="str">
        <x:f>IF(I33&gt;0.001,"導入受限","")</x:f>
      </x:c>
      <x:c r="J60" s="32" t="str">
        <x:f>IF(J33&gt;0.001,"導入受限","")</x:f>
      </x:c>
      <x:c r="K60" s="32" t="str">
        <x:f>IF(K33&gt;0.001,"導入受限","")</x:f>
      </x:c>
      <x:c r="L60" s="32" t="str">
        <x:f>IF(L33&gt;0.001,"導入受限","")</x:f>
      </x:c>
      <x:c r="M60" s="32" t="str">
        <x:f>IF(M33&gt;0.001,"導入受限","")</x:f>
      </x:c>
      <x:c r="N60" s="32" t="str">
        <x:f>IF(N33&gt;0.001,"導入受限","")</x:f>
      </x:c>
      <x:c r="O60" s="32" t="str">
        <x:f>IF(O33&gt;0.001,"導入受限","")</x:f>
      </x:c>
      <x:c r="P60" s="32" t="str">
        <x:f>IF(P33&gt;0.001,"導入受限","")</x:f>
      </x:c>
      <x:c r="Q60" s="32" t="str">
        <x:f>IF(Q33&gt;0.001,"導入受限","")</x:f>
      </x:c>
      <x:c r="R60" s="32" t="str">
        <x:f>IF(R33&gt;0.001,"導入受限","")</x:f>
      </x:c>
      <x:c r="S60" s="32" t="str">
        <x:f>IF(S33&gt;0.001,"導入受限","")</x:f>
      </x:c>
      <x:c r="T60" s="32" t="str">
        <x:f>IF(T33&gt;0.001,"導入受限","")</x:f>
      </x:c>
      <x:c r="U60" s="32" t="str">
        <x:f>IF(U33&gt;0.001,"導入受限","")</x:f>
      </x:c>
      <x:c r="V60" s="32" t="str">
        <x:f>IF(V33&gt;0.001,"導入受限","")</x:f>
      </x:c>
      <x:c r="W60" s="32" t="str">
        <x:f>IF(W33&gt;0.001,"導入受限","")</x:f>
      </x:c>
      <x:c r="X60" s="32" t="str">
        <x:f>IF(X33&gt;0.001,"導入受限","")</x:f>
      </x:c>
      <x:c r="Y60" s="32" t="str">
        <x:f>IF(Y33&gt;0.001,"導入受限","")</x:f>
        <x:v>導入受限</x:v>
      </x:c>
      <x:c r="Z60" s="32" t="str">
        <x:f>IF(Z33&gt;0.001,"導入受限","")</x:f>
        <x:v>導入受限</x:v>
      </x:c>
      <x:c r="AA60" s="32" t="str">
        <x:f>IF(AA33&gt;0.001,"導入受限","")</x:f>
        <x:v>導入受限</x:v>
      </x:c>
      <x:c r="AB60" s="32" t="str">
        <x:f>IF(AB33&gt;0.001,"導入受限","")</x:f>
        <x:v>導入受限</x:v>
      </x:c>
      <x:c r="AC60" s="32" t="str">
        <x:f>IF(AC33&gt;0.001,"導入受限","")</x:f>
        <x:v>導入受限</x:v>
      </x:c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</x:row>
    <x:row r="63" ht="23" customHeight="1">
      <x:c r="A63" s="2"/>
      <x:c r="B63" s="2"/>
      <x:c r="C63" s="14" t="str">
        <x:v>追蹤單位經濟</x:v>
      </x:c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</x:row>
    <x:row r="65" ht="23" customHeight="1">
      <x:c r="A65" s="2"/>
      <x:c r="B65" s="2"/>
      <x:c r="C65" s="2" t="str">
        <x:v>配對獲客現金 CAC</x:v>
      </x:c>
      <x:c r="D65" s="2"/>
      <x:c r="E65" s="2"/>
      <x:c r="F65" s="37" t="n">
        <x:f>IF(SUM(H32:AC32)=0,NA(),SUM(F46:AA46)/SUM(H32:AC32))</x:f>
        <x:v>941.6603915266127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</x:row>
    <x:row r="66" ht="23" customHeight="1">
      <x:c r="A66" s="2"/>
      <x:c r="B66" s="2"/>
      <x:c r="C66" s="2" t="str">
        <x:v>含獲客與試用工時 CAC</x:v>
      </x:c>
      <x:c r="D66" s="2"/>
      <x:c r="E66" s="2"/>
      <x:c r="F66" s="37" t="n">
        <x:f>IF(SUM(H32:AC32)=0,NA(),(SUM(F46:AA46)+(SUM(F29:AA29)+SUM(G30:AB30))*'假設'!$F$13)/SUM(H32:AC32))</x:f>
        <x:v>5200.476455604306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</x:row>
    <x:row r="67" ht="23" customHeight="1">
      <x:c r="A67" s="2"/>
      <x:c r="B67" s="2"/>
      <x:c r="C67" s="2" t="str">
        <x:v>前三月總現金支出</x:v>
      </x:c>
      <x:c r="D67" s="2"/>
      <x:c r="E67" s="2"/>
      <x:c r="F67" s="37" t="n">
        <x:f>SUM(F59:H59)</x:f>
        <x:v>43863.468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</x:row>
    <x:row r="68" ht="23" customHeight="1">
      <x:c r="A68" s="2"/>
      <x:c r="B68" s="2"/>
      <x:c r="C68" s="2" t="str">
        <x:v>最大累計資金缺口</x:v>
      </x:c>
      <x:c r="D68" s="2"/>
      <x:c r="E68" s="2"/>
      <x:c r="F68" s="37" t="n">
        <x:f>MAX(0,-MIN(F53:AC53))</x:f>
        <x:v>39000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 ht="23" customHeight="1">
      <x:c r="A69" s="2"/>
      <x:c r="B69" s="2"/>
      <x:c r="C69" s="2" t="str">
        <x:v>24月累計收入</x:v>
      </x:c>
      <x:c r="D69" s="2"/>
      <x:c r="E69" s="2"/>
      <x:c r="F69" s="37" t="n">
        <x:f>SUM(F41:AC41)</x:f>
        <x:v>612482.7686273159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</x:row>
    <x:row r="72" ht="23" customHeight="1">
      <x:c r="A72" s="2"/>
      <x:c r="B72" s="2"/>
      <x:c r="C72" s="24" t="str">
        <x:v>CAC 對齊第1–22月觸達、2–23月試用與3–24月付費。付費後導入時間另列服務成本。</x:v>
      </x:c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</x:row>
    <x:row r="73" ht="23" customHeight="1">
      <x:c r="A73" s="2"/>
      <x:c r="B73" s="2"/>
      <x:c r="C73" s="24" t="str">
        <x:v>未接單量不當作成交，也不自動轉成下一月保證客戶。實際擴張須改排程或改善服務效率。</x:v>
      </x:c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</x:row>
    <x:row r="74" ht="23" customHeight="1">
      <x:c r="A74" s="2"/>
      <x:c r="B74" s="2"/>
      <x:c r="C74" s="24" t="str">
        <x:v>現金增減不等於會計稅後淨利。一次支出直接列現金，時間成本另列管理損益。</x:v>
      </x:c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</x:row>
  </x:sheetData>
  <x:conditionalFormatting sqref="F55:AC58">
    <x:cfRule type="cellIs" dxfId="0" priority="1" operator="lessThan">
      <x:formula>0</x:formula>
    </x:cfRule>
  </x:conditionalFormatting>
  <x:conditionalFormatting sqref="F60:AC60">
    <x:cfRule type="containsText" dxfId="1" priority="2" operator="containsText" text="導入受限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31" hidden="0" customWidth="1"/>
    <x:col min="5" max="5" width="44" hidden="0" customWidth="1"/>
    <x:col min="6" max="6" width="44" hidden="0" customWidth="1"/>
    <x:col min="7" max="7" width="15" hidden="0" customWidth="1"/>
    <x:col min="8" max="8" width="3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3" customHeight="1">
      <x:c r="A2" s="2"/>
      <x:c r="B2" s="2"/>
      <x:c r="C2" s="3" t="str">
        <x:v>90 天驗證與擴張門檻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23" customHeight="1">
      <x:c r="A4" s="2"/>
      <x:c r="B4" s="2"/>
      <x:c r="C4" s="2" t="str">
        <x:v>目前情境</x:v>
      </x:c>
      <x:c r="D4" s="2"/>
      <x:c r="E4" s="26" t="str">
        <x:f>'假設'!H4</x:f>
        <x:v>基準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 ht="23" customHeight="1">
      <x:c r="A7" s="2"/>
      <x:c r="B7" s="2"/>
      <x:c r="C7" s="15" t="str">
        <x:v>時間</x:v>
      </x:c>
      <x:c r="D7" s="15" t="str">
        <x:v>要完成的工作</x:v>
      </x:c>
      <x:c r="E7" s="15" t="str">
        <x:v>通過證據</x:v>
      </x:c>
      <x:c r="F7" s="15" t="str">
        <x:v>未通過時的決定</x:v>
      </x:c>
      <x:c r="G7" s="15" t="str">
        <x:v>目前狀態</x:v>
      </x:c>
      <x:c r="H7" s="15" t="str">
        <x:v>實際紀錄／下一步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 ht="65" customHeight="1">
      <x:c r="A8" s="2"/>
      <x:c r="B8" s="2"/>
      <x:c r="C8" s="38" t="str">
        <x:v>第1–21天</x:v>
      </x:c>
      <x:c r="D8" s="38" t="str">
        <x:v>訪談15–20位目標店主，觀察2家忙碌營業時段</x:v>
      </x:c>
      <x:c r="E8" s="38" t="str">
        <x:v>至少5家出現相同高頻問題；能描述現在的替代辦法與代價</x:v>
      </x:c>
      <x:c r="F8" s="38" t="str">
        <x:v>縮窄店型及問題，不急著加功能</x:v>
      </x:c>
      <x:c r="G8" s="41" t="str">
        <x:v>未開始</x:v>
      </x:c>
      <x:c r="H8" s="41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 ht="65" customHeight="1">
      <x:c r="A9" s="2"/>
      <x:c r="B9" s="2"/>
      <x:c r="C9" s="38" t="str">
        <x:v>第22–45天</x:v>
      </x:c>
      <x:c r="D9" s="38" t="str">
        <x:v>補齊必要流程、商用環境與設備
完成恢復演練</x:v>
      </x:c>
      <x:c r="E9" s="38" t="str">
        <x:v>交易、日結、離線重啟與備份驗收通過
才邀店家開始營業試點</x:v>
      </x:c>
      <x:c r="F9" s="38" t="str">
        <x:v>維持非營業展示
修復後才開始並行試點</x:v>
      </x:c>
      <x:c r="G9" s="41" t="str">
        <x:v>未開始</x:v>
      </x:c>
      <x:c r="H9" s="41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 ht="65" customHeight="1">
      <x:c r="A10" s="2"/>
      <x:c r="B10" s="2"/>
      <x:c r="C10" s="38" t="str">
        <x:v>第46–60天</x:v>
      </x:c>
      <x:c r="D10" s="38" t="str">
        <x:v>3家店並行試點，各至少10個營業日
同時測試報價</x:v>
      </x:c>
      <x:c r="E10" s="38" t="str">
        <x:v>無未解決丟單、恢復成功、有省時量測
月費：NT$1,290／1,490
導入：NT$4,900／6,900</x:v>
      </x:c>
      <x:c r="F10" s="38" t="str">
        <x:v>未過技術驗收則延後
只願免費則重測付費問題</x:v>
      </x:c>
      <x:c r="G10" s="41" t="str">
        <x:v>未開始</x:v>
      </x:c>
      <x:c r="H10" s="41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 ht="65" customHeight="1">
      <x:c r="A11" s="2"/>
      <x:c r="B11" s="2"/>
      <x:c r="C11" s="38" t="str">
        <x:v>第61–90天</x:v>
      </x:c>
      <x:c r="D11" s="38" t="str">
        <x:v>實際收款2家，目標3家</x:v>
      </x:c>
      <x:c r="E11" s="38" t="str">
        <x:v>款項收妥、沒有用折扣或熟人承諾替代真實付款</x:v>
      </x:c>
      <x:c r="F11" s="38" t="str">
        <x:v>無人按價付款則停止追加開發預算</x:v>
      </x:c>
      <x:c r="G11" s="41" t="str">
        <x:v>未開始</x:v>
      </x:c>
      <x:c r="H11" s="41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 ht="65" customHeight="1">
      <x:c r="A12" s="2"/>
      <x:c r="B12" s="2"/>
      <x:c r="C12" s="38" t="str">
        <x:v>第90天</x:v>
      </x:c>
      <x:c r="D12" s="38" t="str">
        <x:v>核算首3月現金及服務容量</x:v>
      </x:c>
      <x:c r="E12" s="38" t="str">
        <x:v>總現金支出≤60,000；導入約3h／店，成熟客服≤0.75h／店月</x:v>
      </x:c>
      <x:c r="F12" s="38" t="str">
        <x:v>服務量超假設兩倍須重估售價與排程</x:v>
      </x:c>
      <x:c r="G12" s="41" t="str">
        <x:v>未開始</x:v>
      </x:c>
      <x:c r="H12" s="41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ht="65" customHeight="1">
      <x:c r="A13" s="2"/>
      <x:c r="B13" s="2"/>
      <x:c r="C13" s="38" t="str">
        <x:v>第120天</x:v>
      </x:c>
      <x:c r="D13" s="38" t="str">
        <x:v>檢查第二期繳款和持續營業使用</x:v>
      </x:c>
      <x:c r="E13" s="38" t="str">
        <x:v>至少2家真正續繳；記錄流失原因，不能提前假設留存</x:v>
      </x:c>
      <x:c r="F13" s="38" t="str">
        <x:v>暫緩擴張，改善流失的共同原因</x:v>
      </x:c>
      <x:c r="G13" s="41" t="str">
        <x:v>未開始</x:v>
      </x:c>
      <x:c r="H13" s="41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</x:row>
    <x:row r="14" ht="65" customHeight="1">
      <x:c r="A14" s="2"/>
      <x:c r="B14" s="2"/>
      <x:c r="C14" s="38" t="str">
        <x:v>擴大前</x:v>
      </x:c>
      <x:c r="D14" s="38" t="str">
        <x:v>10家付費且8家續繳後評估</x:v>
      </x:c>
      <x:c r="E14" s="38" t="str">
        <x:v>已驗證資料恢復、營業時段支援、單店隔離與服務工時</x:v>
      </x:c>
      <x:c r="F14" s="38" t="str">
        <x:v>條件未齊保持小量；達標後仍由創辦人作決定</x:v>
      </x:c>
      <x:c r="G14" s="41" t="str">
        <x:v>未開始</x:v>
      </x:c>
      <x:c r="H14" s="41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</x:row>
    <x:row r="17" ht="23" customHeight="1">
      <x:c r="A17" s="2"/>
      <x:c r="B17" s="2"/>
      <x:c r="C17" s="24" t="str">
        <x:v>負責人預設為創辦人。狀態需人工依證據更新；「已完成」不會自動成為付費實績。</x:v>
      </x:c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</x:row>
    <x:row r="18" ht="23" customHeight="1">
      <x:c r="A18" s="2"/>
      <x:c r="B18" s="2"/>
      <x:c r="C18" s="24" t="str">
        <x:v>先暫定每週20小時；午晚餐故障是否能在承諾時段接手，需在試用中實測。</x:v>
      </x:c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</x:row>
  </x:sheetData>
  <x:dataValidations count="1">
    <x:dataValidation type="list" sqref="G8:G14">
      <x:formula1>"未開始,進行中,已完成,暫停"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11" topLeftCell="E12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6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  <x:col min="20" max="20" width="30" hidden="0" customWidth="1"/>
    <x:col min="21" max="21" width="16" hidden="0" customWidth="1"/>
    <x:col min="22" max="22" width="16" hidden="0" customWidth="1"/>
    <x:col min="23" max="23" width="16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3" customHeight="1">
      <x:c r="A2" s="2"/>
      <x:c r="B2" s="2"/>
      <x:c r="C2" s="3" t="str">
        <x:v>店家驗證：實際訪談、收款與續繳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 ht="23" customHeight="1">
      <x:c r="A4" s="2"/>
      <x:c r="B4" s="2"/>
      <x:c r="C4" s="2" t="str">
        <x:v>目前情境</x:v>
      </x:c>
      <x:c r="D4" s="2"/>
      <x:c r="E4" s="26" t="str">
        <x:f>'假設'!H4</x:f>
        <x:v>基準</x:v>
      </x:c>
      <x:c r="F4" s="2"/>
      <x:c r="G4" s="2"/>
      <x:c r="H4" s="2" t="str">
        <x:v>黃色格只填真實紀錄；空白表示尚未記錄。日期請輸入真正日期。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3" customHeight="1">
      <x:c r="A6" s="2"/>
      <x:c r="B6" s="2"/>
      <x:c r="C6" s="2" t="str">
        <x:v>已記錄店家</x:v>
      </x:c>
      <x:c r="D6" s="2"/>
      <x:c r="E6" s="2"/>
      <x:c r="F6" s="2" t="str">
        <x:f>IF(COUNTA(D12:D41)=0,"尚未輸入",COUNTA(D12:D41))</x:f>
        <x:v>尚未輸入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3" customHeight="1">
      <x:c r="A7" s="2"/>
      <x:c r="B7" s="2"/>
      <x:c r="C7" s="2" t="str">
        <x:v>實際付費店數</x:v>
      </x:c>
      <x:c r="D7" s="2"/>
      <x:c r="E7" s="2"/>
      <x:c r="F7" s="2" t="str">
        <x:f>IF(COUNTA(D12:D41)=0,"尚未輸入",SUM(U12:U41))</x:f>
        <x:v>尚未輸入</x:v>
      </x:c>
      <x:c r="G7" s="2"/>
      <x:c r="H7" s="2"/>
      <x:c r="I7" s="2"/>
      <x:c r="J7" s="2" t="str">
        <x:f>IF(COUNTA(D12:D41)=0,"尚未開始記錄",IF(SUM(U12:U41)&lt;10,"先取得10家付費",IF(SUM(V12:V41)&lt;8,"等待8家續繳",IF(SUM(W12:W41)&lt;8,"補齊工時與交易驗證","可進行擴大前人工審查"))))</x:f>
        <x:v>尚未開始記錄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23" customHeight="1">
      <x:c r="A8" s="2"/>
      <x:c r="B8" s="2"/>
      <x:c r="C8" s="2" t="str">
        <x:v>實際續繳店數</x:v>
      </x:c>
      <x:c r="D8" s="2"/>
      <x:c r="E8" s="2"/>
      <x:c r="F8" s="2" t="str">
        <x:f>IF(COUNTA(D12:D41)=0,"尚未輸入",SUM(V12:V41))</x:f>
        <x:v>尚未輸入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 t="str">
        <x:v>須有唯一ID、店名、日期、正數報價、實收金額及證據。第二期須另有付款，不能填預收或同次拆款。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 t="str">
        <x:v>達到店數門檻後，仍須人工驗證雲端恢復、服務時段與店家隔離。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40" customHeight="1">
      <x:c r="A11" s="2"/>
      <x:c r="B11" s="2"/>
      <x:c r="C11" s="43" t="str">
        <x:v>記錄ID</x:v>
      </x:c>
      <x:c r="D11" s="43" t="str">
        <x:v>店名／代稱</x:v>
      </x:c>
      <x:c r="E11" s="43" t="str">
        <x:v>符合目標店型</x:v>
      </x:c>
      <x:c r="F11" s="43" t="str">
        <x:v>訪談日期</x:v>
      </x:c>
      <x:c r="G11" s="43" t="str">
        <x:v>展示日期</x:v>
      </x:c>
      <x:c r="H11" s="43" t="str">
        <x:v>試用開始</x:v>
      </x:c>
      <x:c r="I11" s="43" t="str">
        <x:v>實用營業日</x:v>
      </x:c>
      <x:c r="J11" s="43" t="str">
        <x:v>報價月費</x:v>
      </x:c>
      <x:c r="K11" s="43" t="str">
        <x:v>導入報價</x:v>
      </x:c>
      <x:c r="L11" s="43" t="str">
        <x:v>首款日期</x:v>
      </x:c>
      <x:c r="M11" s="43" t="str">
        <x:v>首次實收總額</x:v>
      </x:c>
      <x:c r="N11" s="43" t="str">
        <x:v>第二期付款日</x:v>
      </x:c>
      <x:c r="O11" s="43" t="str">
        <x:v>第二期實收額</x:v>
      </x:c>
      <x:c r="P11" s="43" t="str">
        <x:v>導入小時</x:v>
      </x:c>
      <x:c r="Q11" s="43" t="str">
        <x:v>每月客服小時</x:v>
      </x:c>
      <x:c r="R11" s="43" t="str">
        <x:v>交易故障狀態</x:v>
      </x:c>
      <x:c r="S11" s="43" t="str">
        <x:v>下一步</x:v>
      </x:c>
      <x:c r="T11" s="43" t="str">
        <x:v>收款證據／拒絕原因</x:v>
      </x:c>
      <x:c r="U11" s="43" t="str">
        <x:v>有效付費</x:v>
      </x:c>
      <x:c r="V11" s="43" t="str">
        <x:v>有效續繳</x:v>
      </x:c>
      <x:c r="W11" s="43" t="str">
        <x:v>店家實績達標</x:v>
      </x:c>
    </x:row>
    <x:row r="12" ht="23" customHeight="1">
      <x:c r="A12" s="2"/>
      <x:c r="B12" s="2"/>
      <x:c r="C12" s="44"/>
      <x:c r="D12" s="44"/>
      <x:c r="E12" s="44"/>
      <x:c r="F12" s="45"/>
      <x:c r="G12" s="45"/>
      <x:c r="H12" s="45"/>
      <x:c r="I12" s="7"/>
      <x:c r="J12" s="7"/>
      <x:c r="K12" s="7"/>
      <x:c r="L12" s="45"/>
      <x:c r="M12" s="10"/>
      <x:c r="N12" s="45"/>
      <x:c r="O12" s="10"/>
      <x:c r="P12" s="22"/>
      <x:c r="Q12" s="22"/>
      <x:c r="R12" s="44"/>
      <x:c r="S12" s="44"/>
      <x:c r="T12" s="44"/>
      <x:c r="U12" s="46" t="str">
        <x:f>IF(D12="","",IF(AND(C12&lt;&gt;"",COUNTIFS($C$12:$C$41,C12)=1,ISNUMBER(L12),L12&gt;0,ISNUMBER(J12),J12&gt;0,ISNUMBER(K12),K12&gt;0,ISNUMBER(M12),M12&gt;0,T12&lt;&gt;""),1,0))</x:f>
      </x:c>
      <x:c r="V12" s="46" t="str">
        <x:f>IF(D12="","",IF(AND(U12=1,ISNUMBER(N12),N12&gt;L12,ISNUMBER(O12),O12&gt;0),1,0))</x:f>
      </x:c>
      <x:c r="W12" s="46" t="str">
        <x:f>IF(D12="","",IF(AND(V12=1,E12="符合",ISNUMBER(I12),I12&gt;=10,ISNUMBER(P12),P12&gt;=0,P12&lt;=3,ISNUMBER(Q12),Q12&gt;=0,Q12&lt;=0.75,R12="已驗證無故障"),1,0))</x:f>
      </x:c>
    </x:row>
    <x:row r="13" ht="23" customHeight="1">
      <x:c r="A13" s="2"/>
      <x:c r="B13" s="2"/>
      <x:c r="C13" s="44"/>
      <x:c r="D13" s="44"/>
      <x:c r="E13" s="44"/>
      <x:c r="F13" s="45"/>
      <x:c r="G13" s="45"/>
      <x:c r="H13" s="45"/>
      <x:c r="I13" s="7"/>
      <x:c r="J13" s="7"/>
      <x:c r="K13" s="7"/>
      <x:c r="L13" s="45"/>
      <x:c r="M13" s="10"/>
      <x:c r="N13" s="45"/>
      <x:c r="O13" s="10"/>
      <x:c r="P13" s="22"/>
      <x:c r="Q13" s="22"/>
      <x:c r="R13" s="44"/>
      <x:c r="S13" s="44"/>
      <x:c r="T13" s="44"/>
      <x:c r="U13" s="46" t="str">
        <x:f>IF(D13="","",IF(AND(C13&lt;&gt;"",COUNTIFS($C$12:$C$41,C13)=1,ISNUMBER(L13),L13&gt;0,ISNUMBER(J13),J13&gt;0,ISNUMBER(K13),K13&gt;0,ISNUMBER(M13),M13&gt;0,T13&lt;&gt;""),1,0))</x:f>
      </x:c>
      <x:c r="V13" s="46" t="str">
        <x:f>IF(D13="","",IF(AND(U13=1,ISNUMBER(N13),N13&gt;L13,ISNUMBER(O13),O13&gt;0),1,0))</x:f>
      </x:c>
      <x:c r="W13" s="46" t="str">
        <x:f>IF(D13="","",IF(AND(V13=1,E13="符合",ISNUMBER(I13),I13&gt;=10,ISNUMBER(P13),P13&gt;=0,P13&lt;=3,ISNUMBER(Q13),Q13&gt;=0,Q13&lt;=0.75,R13="已驗證無故障"),1,0))</x:f>
      </x:c>
    </x:row>
    <x:row r="14" ht="23" customHeight="1">
      <x:c r="A14" s="2"/>
      <x:c r="B14" s="2"/>
      <x:c r="C14" s="44"/>
      <x:c r="D14" s="44"/>
      <x:c r="E14" s="44"/>
      <x:c r="F14" s="45"/>
      <x:c r="G14" s="45"/>
      <x:c r="H14" s="45"/>
      <x:c r="I14" s="7"/>
      <x:c r="J14" s="7"/>
      <x:c r="K14" s="7"/>
      <x:c r="L14" s="45"/>
      <x:c r="M14" s="10"/>
      <x:c r="N14" s="45"/>
      <x:c r="O14" s="10"/>
      <x:c r="P14" s="22"/>
      <x:c r="Q14" s="22"/>
      <x:c r="R14" s="44"/>
      <x:c r="S14" s="44"/>
      <x:c r="T14" s="44"/>
      <x:c r="U14" s="46" t="str">
        <x:f>IF(D14="","",IF(AND(C14&lt;&gt;"",COUNTIFS($C$12:$C$41,C14)=1,ISNUMBER(L14),L14&gt;0,ISNUMBER(J14),J14&gt;0,ISNUMBER(K14),K14&gt;0,ISNUMBER(M14),M14&gt;0,T14&lt;&gt;""),1,0))</x:f>
      </x:c>
      <x:c r="V14" s="46" t="str">
        <x:f>IF(D14="","",IF(AND(U14=1,ISNUMBER(N14),N14&gt;L14,ISNUMBER(O14),O14&gt;0),1,0))</x:f>
      </x:c>
      <x:c r="W14" s="46" t="str">
        <x:f>IF(D14="","",IF(AND(V14=1,E14="符合",ISNUMBER(I14),I14&gt;=10,ISNUMBER(P14),P14&gt;=0,P14&lt;=3,ISNUMBER(Q14),Q14&gt;=0,Q14&lt;=0.75,R14="已驗證無故障"),1,0))</x:f>
      </x:c>
    </x:row>
    <x:row r="15" ht="23" customHeight="1">
      <x:c r="A15" s="2"/>
      <x:c r="B15" s="2"/>
      <x:c r="C15" s="44"/>
      <x:c r="D15" s="44"/>
      <x:c r="E15" s="44"/>
      <x:c r="F15" s="45"/>
      <x:c r="G15" s="45"/>
      <x:c r="H15" s="45"/>
      <x:c r="I15" s="7"/>
      <x:c r="J15" s="7"/>
      <x:c r="K15" s="7"/>
      <x:c r="L15" s="45"/>
      <x:c r="M15" s="10"/>
      <x:c r="N15" s="45"/>
      <x:c r="O15" s="10"/>
      <x:c r="P15" s="22"/>
      <x:c r="Q15" s="22"/>
      <x:c r="R15" s="44"/>
      <x:c r="S15" s="44"/>
      <x:c r="T15" s="44"/>
      <x:c r="U15" s="46" t="str">
        <x:f>IF(D15="","",IF(AND(C15&lt;&gt;"",COUNTIFS($C$12:$C$41,C15)=1,ISNUMBER(L15),L15&gt;0,ISNUMBER(J15),J15&gt;0,ISNUMBER(K15),K15&gt;0,ISNUMBER(M15),M15&gt;0,T15&lt;&gt;""),1,0))</x:f>
      </x:c>
      <x:c r="V15" s="46" t="str">
        <x:f>IF(D15="","",IF(AND(U15=1,ISNUMBER(N15),N15&gt;L15,ISNUMBER(O15),O15&gt;0),1,0))</x:f>
      </x:c>
      <x:c r="W15" s="46" t="str">
        <x:f>IF(D15="","",IF(AND(V15=1,E15="符合",ISNUMBER(I15),I15&gt;=10,ISNUMBER(P15),P15&gt;=0,P15&lt;=3,ISNUMBER(Q15),Q15&gt;=0,Q15&lt;=0.75,R15="已驗證無故障"),1,0))</x:f>
      </x:c>
    </x:row>
    <x:row r="16" ht="23" customHeight="1">
      <x:c r="A16" s="2"/>
      <x:c r="B16" s="2"/>
      <x:c r="C16" s="44"/>
      <x:c r="D16" s="44"/>
      <x:c r="E16" s="44"/>
      <x:c r="F16" s="45"/>
      <x:c r="G16" s="45"/>
      <x:c r="H16" s="45"/>
      <x:c r="I16" s="7"/>
      <x:c r="J16" s="7"/>
      <x:c r="K16" s="7"/>
      <x:c r="L16" s="45"/>
      <x:c r="M16" s="10"/>
      <x:c r="N16" s="45"/>
      <x:c r="O16" s="10"/>
      <x:c r="P16" s="22"/>
      <x:c r="Q16" s="22"/>
      <x:c r="R16" s="44"/>
      <x:c r="S16" s="44"/>
      <x:c r="T16" s="44"/>
      <x:c r="U16" s="46" t="str">
        <x:f>IF(D16="","",IF(AND(C16&lt;&gt;"",COUNTIFS($C$12:$C$41,C16)=1,ISNUMBER(L16),L16&gt;0,ISNUMBER(J16),J16&gt;0,ISNUMBER(K16),K16&gt;0,ISNUMBER(M16),M16&gt;0,T16&lt;&gt;""),1,0))</x:f>
      </x:c>
      <x:c r="V16" s="46" t="str">
        <x:f>IF(D16="","",IF(AND(U16=1,ISNUMBER(N16),N16&gt;L16,ISNUMBER(O16),O16&gt;0),1,0))</x:f>
      </x:c>
      <x:c r="W16" s="46" t="str">
        <x:f>IF(D16="","",IF(AND(V16=1,E16="符合",ISNUMBER(I16),I16&gt;=10,ISNUMBER(P16),P16&gt;=0,P16&lt;=3,ISNUMBER(Q16),Q16&gt;=0,Q16&lt;=0.75,R16="已驗證無故障"),1,0))</x:f>
      </x:c>
    </x:row>
    <x:row r="17" ht="23" customHeight="1">
      <x:c r="A17" s="2"/>
      <x:c r="B17" s="2"/>
      <x:c r="C17" s="44"/>
      <x:c r="D17" s="44"/>
      <x:c r="E17" s="44"/>
      <x:c r="F17" s="45"/>
      <x:c r="G17" s="45"/>
      <x:c r="H17" s="45"/>
      <x:c r="I17" s="7"/>
      <x:c r="J17" s="7"/>
      <x:c r="K17" s="7"/>
      <x:c r="L17" s="45"/>
      <x:c r="M17" s="10"/>
      <x:c r="N17" s="45"/>
      <x:c r="O17" s="10"/>
      <x:c r="P17" s="22"/>
      <x:c r="Q17" s="22"/>
      <x:c r="R17" s="44"/>
      <x:c r="S17" s="44"/>
      <x:c r="T17" s="44"/>
      <x:c r="U17" s="46" t="str">
        <x:f>IF(D17="","",IF(AND(C17&lt;&gt;"",COUNTIFS($C$12:$C$41,C17)=1,ISNUMBER(L17),L17&gt;0,ISNUMBER(J17),J17&gt;0,ISNUMBER(K17),K17&gt;0,ISNUMBER(M17),M17&gt;0,T17&lt;&gt;""),1,0))</x:f>
      </x:c>
      <x:c r="V17" s="46" t="str">
        <x:f>IF(D17="","",IF(AND(U17=1,ISNUMBER(N17),N17&gt;L17,ISNUMBER(O17),O17&gt;0),1,0))</x:f>
      </x:c>
      <x:c r="W17" s="46" t="str">
        <x:f>IF(D17="","",IF(AND(V17=1,E17="符合",ISNUMBER(I17),I17&gt;=10,ISNUMBER(P17),P17&gt;=0,P17&lt;=3,ISNUMBER(Q17),Q17&gt;=0,Q17&lt;=0.75,R17="已驗證無故障"),1,0))</x:f>
      </x:c>
    </x:row>
    <x:row r="18" ht="23" customHeight="1">
      <x:c r="A18" s="2"/>
      <x:c r="B18" s="2"/>
      <x:c r="C18" s="44"/>
      <x:c r="D18" s="44"/>
      <x:c r="E18" s="44"/>
      <x:c r="F18" s="45"/>
      <x:c r="G18" s="45"/>
      <x:c r="H18" s="45"/>
      <x:c r="I18" s="7"/>
      <x:c r="J18" s="7"/>
      <x:c r="K18" s="7"/>
      <x:c r="L18" s="45"/>
      <x:c r="M18" s="10"/>
      <x:c r="N18" s="45"/>
      <x:c r="O18" s="10"/>
      <x:c r="P18" s="22"/>
      <x:c r="Q18" s="22"/>
      <x:c r="R18" s="44"/>
      <x:c r="S18" s="44"/>
      <x:c r="T18" s="44"/>
      <x:c r="U18" s="46" t="str">
        <x:f>IF(D18="","",IF(AND(C18&lt;&gt;"",COUNTIFS($C$12:$C$41,C18)=1,ISNUMBER(L18),L18&gt;0,ISNUMBER(J18),J18&gt;0,ISNUMBER(K18),K18&gt;0,ISNUMBER(M18),M18&gt;0,T18&lt;&gt;""),1,0))</x:f>
      </x:c>
      <x:c r="V18" s="46" t="str">
        <x:f>IF(D18="","",IF(AND(U18=1,ISNUMBER(N18),N18&gt;L18,ISNUMBER(O18),O18&gt;0),1,0))</x:f>
      </x:c>
      <x:c r="W18" s="46" t="str">
        <x:f>IF(D18="","",IF(AND(V18=1,E18="符合",ISNUMBER(I18),I18&gt;=10,ISNUMBER(P18),P18&gt;=0,P18&lt;=3,ISNUMBER(Q18),Q18&gt;=0,Q18&lt;=0.75,R18="已驗證無故障"),1,0))</x:f>
      </x:c>
    </x:row>
    <x:row r="19" ht="23" customHeight="1">
      <x:c r="A19" s="2"/>
      <x:c r="B19" s="2"/>
      <x:c r="C19" s="44"/>
      <x:c r="D19" s="44"/>
      <x:c r="E19" s="44"/>
      <x:c r="F19" s="45"/>
      <x:c r="G19" s="45"/>
      <x:c r="H19" s="45"/>
      <x:c r="I19" s="7"/>
      <x:c r="J19" s="7"/>
      <x:c r="K19" s="7"/>
      <x:c r="L19" s="45"/>
      <x:c r="M19" s="10"/>
      <x:c r="N19" s="45"/>
      <x:c r="O19" s="10"/>
      <x:c r="P19" s="22"/>
      <x:c r="Q19" s="22"/>
      <x:c r="R19" s="44"/>
      <x:c r="S19" s="44"/>
      <x:c r="T19" s="44"/>
      <x:c r="U19" s="46" t="str">
        <x:f>IF(D19="","",IF(AND(C19&lt;&gt;"",COUNTIFS($C$12:$C$41,C19)=1,ISNUMBER(L19),L19&gt;0,ISNUMBER(J19),J19&gt;0,ISNUMBER(K19),K19&gt;0,ISNUMBER(M19),M19&gt;0,T19&lt;&gt;""),1,0))</x:f>
      </x:c>
      <x:c r="V19" s="46" t="str">
        <x:f>IF(D19="","",IF(AND(U19=1,ISNUMBER(N19),N19&gt;L19,ISNUMBER(O19),O19&gt;0),1,0))</x:f>
      </x:c>
      <x:c r="W19" s="46" t="str">
        <x:f>IF(D19="","",IF(AND(V19=1,E19="符合",ISNUMBER(I19),I19&gt;=10,ISNUMBER(P19),P19&gt;=0,P19&lt;=3,ISNUMBER(Q19),Q19&gt;=0,Q19&lt;=0.75,R19="已驗證無故障"),1,0))</x:f>
      </x:c>
    </x:row>
    <x:row r="20" ht="23" customHeight="1">
      <x:c r="A20" s="2"/>
      <x:c r="B20" s="2"/>
      <x:c r="C20" s="44"/>
      <x:c r="D20" s="44"/>
      <x:c r="E20" s="44"/>
      <x:c r="F20" s="45"/>
      <x:c r="G20" s="45"/>
      <x:c r="H20" s="45"/>
      <x:c r="I20" s="7"/>
      <x:c r="J20" s="7"/>
      <x:c r="K20" s="7"/>
      <x:c r="L20" s="45"/>
      <x:c r="M20" s="10"/>
      <x:c r="N20" s="45"/>
      <x:c r="O20" s="10"/>
      <x:c r="P20" s="22"/>
      <x:c r="Q20" s="22"/>
      <x:c r="R20" s="44"/>
      <x:c r="S20" s="44"/>
      <x:c r="T20" s="44"/>
      <x:c r="U20" s="46" t="str">
        <x:f>IF(D20="","",IF(AND(C20&lt;&gt;"",COUNTIFS($C$12:$C$41,C20)=1,ISNUMBER(L20),L20&gt;0,ISNUMBER(J20),J20&gt;0,ISNUMBER(K20),K20&gt;0,ISNUMBER(M20),M20&gt;0,T20&lt;&gt;""),1,0))</x:f>
      </x:c>
      <x:c r="V20" s="46" t="str">
        <x:f>IF(D20="","",IF(AND(U20=1,ISNUMBER(N20),N20&gt;L20,ISNUMBER(O20),O20&gt;0),1,0))</x:f>
      </x:c>
      <x:c r="W20" s="46" t="str">
        <x:f>IF(D20="","",IF(AND(V20=1,E20="符合",ISNUMBER(I20),I20&gt;=10,ISNUMBER(P20),P20&gt;=0,P20&lt;=3,ISNUMBER(Q20),Q20&gt;=0,Q20&lt;=0.75,R20="已驗證無故障"),1,0))</x:f>
      </x:c>
    </x:row>
    <x:row r="21" ht="23" customHeight="1">
      <x:c r="A21" s="2"/>
      <x:c r="B21" s="2"/>
      <x:c r="C21" s="44"/>
      <x:c r="D21" s="44"/>
      <x:c r="E21" s="44"/>
      <x:c r="F21" s="45"/>
      <x:c r="G21" s="45"/>
      <x:c r="H21" s="45"/>
      <x:c r="I21" s="7"/>
      <x:c r="J21" s="7"/>
      <x:c r="K21" s="7"/>
      <x:c r="L21" s="45"/>
      <x:c r="M21" s="10"/>
      <x:c r="N21" s="45"/>
      <x:c r="O21" s="10"/>
      <x:c r="P21" s="22"/>
      <x:c r="Q21" s="22"/>
      <x:c r="R21" s="44"/>
      <x:c r="S21" s="44"/>
      <x:c r="T21" s="44"/>
      <x:c r="U21" s="46" t="str">
        <x:f>IF(D21="","",IF(AND(C21&lt;&gt;"",COUNTIFS($C$12:$C$41,C21)=1,ISNUMBER(L21),L21&gt;0,ISNUMBER(J21),J21&gt;0,ISNUMBER(K21),K21&gt;0,ISNUMBER(M21),M21&gt;0,T21&lt;&gt;""),1,0))</x:f>
      </x:c>
      <x:c r="V21" s="46" t="str">
        <x:f>IF(D21="","",IF(AND(U21=1,ISNUMBER(N21),N21&gt;L21,ISNUMBER(O21),O21&gt;0),1,0))</x:f>
      </x:c>
      <x:c r="W21" s="46" t="str">
        <x:f>IF(D21="","",IF(AND(V21=1,E21="符合",ISNUMBER(I21),I21&gt;=10,ISNUMBER(P21),P21&gt;=0,P21&lt;=3,ISNUMBER(Q21),Q21&gt;=0,Q21&lt;=0.75,R21="已驗證無故障"),1,0))</x:f>
      </x:c>
    </x:row>
    <x:row r="22" ht="23" customHeight="1">
      <x:c r="A22" s="2"/>
      <x:c r="B22" s="2"/>
      <x:c r="C22" s="44"/>
      <x:c r="D22" s="44"/>
      <x:c r="E22" s="44"/>
      <x:c r="F22" s="45"/>
      <x:c r="G22" s="45"/>
      <x:c r="H22" s="45"/>
      <x:c r="I22" s="7"/>
      <x:c r="J22" s="7"/>
      <x:c r="K22" s="7"/>
      <x:c r="L22" s="45"/>
      <x:c r="M22" s="10"/>
      <x:c r="N22" s="45"/>
      <x:c r="O22" s="10"/>
      <x:c r="P22" s="22"/>
      <x:c r="Q22" s="22"/>
      <x:c r="R22" s="44"/>
      <x:c r="S22" s="44"/>
      <x:c r="T22" s="44"/>
      <x:c r="U22" s="46" t="str">
        <x:f>IF(D22="","",IF(AND(C22&lt;&gt;"",COUNTIFS($C$12:$C$41,C22)=1,ISNUMBER(L22),L22&gt;0,ISNUMBER(J22),J22&gt;0,ISNUMBER(K22),K22&gt;0,ISNUMBER(M22),M22&gt;0,T22&lt;&gt;""),1,0))</x:f>
      </x:c>
      <x:c r="V22" s="46" t="str">
        <x:f>IF(D22="","",IF(AND(U22=1,ISNUMBER(N22),N22&gt;L22,ISNUMBER(O22),O22&gt;0),1,0))</x:f>
      </x:c>
      <x:c r="W22" s="46" t="str">
        <x:f>IF(D22="","",IF(AND(V22=1,E22="符合",ISNUMBER(I22),I22&gt;=10,ISNUMBER(P22),P22&gt;=0,P22&lt;=3,ISNUMBER(Q22),Q22&gt;=0,Q22&lt;=0.75,R22="已驗證無故障"),1,0))</x:f>
      </x:c>
    </x:row>
    <x:row r="23" ht="23" customHeight="1">
      <x:c r="A23" s="2"/>
      <x:c r="B23" s="2"/>
      <x:c r="C23" s="44"/>
      <x:c r="D23" s="44"/>
      <x:c r="E23" s="44"/>
      <x:c r="F23" s="45"/>
      <x:c r="G23" s="45"/>
      <x:c r="H23" s="45"/>
      <x:c r="I23" s="7"/>
      <x:c r="J23" s="7"/>
      <x:c r="K23" s="7"/>
      <x:c r="L23" s="45"/>
      <x:c r="M23" s="10"/>
      <x:c r="N23" s="45"/>
      <x:c r="O23" s="10"/>
      <x:c r="P23" s="22"/>
      <x:c r="Q23" s="22"/>
      <x:c r="R23" s="44"/>
      <x:c r="S23" s="44"/>
      <x:c r="T23" s="44"/>
      <x:c r="U23" s="46" t="str">
        <x:f>IF(D23="","",IF(AND(C23&lt;&gt;"",COUNTIFS($C$12:$C$41,C23)=1,ISNUMBER(L23),L23&gt;0,ISNUMBER(J23),J23&gt;0,ISNUMBER(K23),K23&gt;0,ISNUMBER(M23),M23&gt;0,T23&lt;&gt;""),1,0))</x:f>
      </x:c>
      <x:c r="V23" s="46" t="str">
        <x:f>IF(D23="","",IF(AND(U23=1,ISNUMBER(N23),N23&gt;L23,ISNUMBER(O23),O23&gt;0),1,0))</x:f>
      </x:c>
      <x:c r="W23" s="46" t="str">
        <x:f>IF(D23="","",IF(AND(V23=1,E23="符合",ISNUMBER(I23),I23&gt;=10,ISNUMBER(P23),P23&gt;=0,P23&lt;=3,ISNUMBER(Q23),Q23&gt;=0,Q23&lt;=0.75,R23="已驗證無故障"),1,0))</x:f>
      </x:c>
    </x:row>
    <x:row r="24" ht="23" customHeight="1">
      <x:c r="A24" s="2"/>
      <x:c r="B24" s="2"/>
      <x:c r="C24" s="44"/>
      <x:c r="D24" s="44"/>
      <x:c r="E24" s="44"/>
      <x:c r="F24" s="45"/>
      <x:c r="G24" s="45"/>
      <x:c r="H24" s="45"/>
      <x:c r="I24" s="7"/>
      <x:c r="J24" s="7"/>
      <x:c r="K24" s="7"/>
      <x:c r="L24" s="45"/>
      <x:c r="M24" s="10"/>
      <x:c r="N24" s="45"/>
      <x:c r="O24" s="10"/>
      <x:c r="P24" s="22"/>
      <x:c r="Q24" s="22"/>
      <x:c r="R24" s="44"/>
      <x:c r="S24" s="44"/>
      <x:c r="T24" s="44"/>
      <x:c r="U24" s="46" t="str">
        <x:f>IF(D24="","",IF(AND(C24&lt;&gt;"",COUNTIFS($C$12:$C$41,C24)=1,ISNUMBER(L24),L24&gt;0,ISNUMBER(J24),J24&gt;0,ISNUMBER(K24),K24&gt;0,ISNUMBER(M24),M24&gt;0,T24&lt;&gt;""),1,0))</x:f>
      </x:c>
      <x:c r="V24" s="46" t="str">
        <x:f>IF(D24="","",IF(AND(U24=1,ISNUMBER(N24),N24&gt;L24,ISNUMBER(O24),O24&gt;0),1,0))</x:f>
      </x:c>
      <x:c r="W24" s="46" t="str">
        <x:f>IF(D24="","",IF(AND(V24=1,E24="符合",ISNUMBER(I24),I24&gt;=10,ISNUMBER(P24),P24&gt;=0,P24&lt;=3,ISNUMBER(Q24),Q24&gt;=0,Q24&lt;=0.75,R24="已驗證無故障"),1,0))</x:f>
      </x:c>
    </x:row>
    <x:row r="25" ht="23" customHeight="1">
      <x:c r="A25" s="2"/>
      <x:c r="B25" s="2"/>
      <x:c r="C25" s="44"/>
      <x:c r="D25" s="44"/>
      <x:c r="E25" s="44"/>
      <x:c r="F25" s="45"/>
      <x:c r="G25" s="45"/>
      <x:c r="H25" s="45"/>
      <x:c r="I25" s="7"/>
      <x:c r="J25" s="7"/>
      <x:c r="K25" s="7"/>
      <x:c r="L25" s="45"/>
      <x:c r="M25" s="10"/>
      <x:c r="N25" s="45"/>
      <x:c r="O25" s="10"/>
      <x:c r="P25" s="22"/>
      <x:c r="Q25" s="22"/>
      <x:c r="R25" s="44"/>
      <x:c r="S25" s="44"/>
      <x:c r="T25" s="44"/>
      <x:c r="U25" s="46" t="str">
        <x:f>IF(D25="","",IF(AND(C25&lt;&gt;"",COUNTIFS($C$12:$C$41,C25)=1,ISNUMBER(L25),L25&gt;0,ISNUMBER(J25),J25&gt;0,ISNUMBER(K25),K25&gt;0,ISNUMBER(M25),M25&gt;0,T25&lt;&gt;""),1,0))</x:f>
      </x:c>
      <x:c r="V25" s="46" t="str">
        <x:f>IF(D25="","",IF(AND(U25=1,ISNUMBER(N25),N25&gt;L25,ISNUMBER(O25),O25&gt;0),1,0))</x:f>
      </x:c>
      <x:c r="W25" s="46" t="str">
        <x:f>IF(D25="","",IF(AND(V25=1,E25="符合",ISNUMBER(I25),I25&gt;=10,ISNUMBER(P25),P25&gt;=0,P25&lt;=3,ISNUMBER(Q25),Q25&gt;=0,Q25&lt;=0.75,R25="已驗證無故障"),1,0))</x:f>
      </x:c>
    </x:row>
    <x:row r="26" ht="23" customHeight="1">
      <x:c r="A26" s="2"/>
      <x:c r="B26" s="2"/>
      <x:c r="C26" s="44"/>
      <x:c r="D26" s="44"/>
      <x:c r="E26" s="44"/>
      <x:c r="F26" s="45"/>
      <x:c r="G26" s="45"/>
      <x:c r="H26" s="45"/>
      <x:c r="I26" s="7"/>
      <x:c r="J26" s="7"/>
      <x:c r="K26" s="7"/>
      <x:c r="L26" s="45"/>
      <x:c r="M26" s="10"/>
      <x:c r="N26" s="45"/>
      <x:c r="O26" s="10"/>
      <x:c r="P26" s="22"/>
      <x:c r="Q26" s="22"/>
      <x:c r="R26" s="44"/>
      <x:c r="S26" s="44"/>
      <x:c r="T26" s="44"/>
      <x:c r="U26" s="46" t="str">
        <x:f>IF(D26="","",IF(AND(C26&lt;&gt;"",COUNTIFS($C$12:$C$41,C26)=1,ISNUMBER(L26),L26&gt;0,ISNUMBER(J26),J26&gt;0,ISNUMBER(K26),K26&gt;0,ISNUMBER(M26),M26&gt;0,T26&lt;&gt;""),1,0))</x:f>
      </x:c>
      <x:c r="V26" s="46" t="str">
        <x:f>IF(D26="","",IF(AND(U26=1,ISNUMBER(N26),N26&gt;L26,ISNUMBER(O26),O26&gt;0),1,0))</x:f>
      </x:c>
      <x:c r="W26" s="46" t="str">
        <x:f>IF(D26="","",IF(AND(V26=1,E26="符合",ISNUMBER(I26),I26&gt;=10,ISNUMBER(P26),P26&gt;=0,P26&lt;=3,ISNUMBER(Q26),Q26&gt;=0,Q26&lt;=0.75,R26="已驗證無故障"),1,0))</x:f>
      </x:c>
    </x:row>
    <x:row r="27" ht="23" customHeight="1">
      <x:c r="A27" s="2"/>
      <x:c r="B27" s="2"/>
      <x:c r="C27" s="44"/>
      <x:c r="D27" s="44"/>
      <x:c r="E27" s="44"/>
      <x:c r="F27" s="45"/>
      <x:c r="G27" s="45"/>
      <x:c r="H27" s="45"/>
      <x:c r="I27" s="7"/>
      <x:c r="J27" s="7"/>
      <x:c r="K27" s="7"/>
      <x:c r="L27" s="45"/>
      <x:c r="M27" s="10"/>
      <x:c r="N27" s="45"/>
      <x:c r="O27" s="10"/>
      <x:c r="P27" s="22"/>
      <x:c r="Q27" s="22"/>
      <x:c r="R27" s="44"/>
      <x:c r="S27" s="44"/>
      <x:c r="T27" s="44"/>
      <x:c r="U27" s="46" t="str">
        <x:f>IF(D27="","",IF(AND(C27&lt;&gt;"",COUNTIFS($C$12:$C$41,C27)=1,ISNUMBER(L27),L27&gt;0,ISNUMBER(J27),J27&gt;0,ISNUMBER(K27),K27&gt;0,ISNUMBER(M27),M27&gt;0,T27&lt;&gt;""),1,0))</x:f>
      </x:c>
      <x:c r="V27" s="46" t="str">
        <x:f>IF(D27="","",IF(AND(U27=1,ISNUMBER(N27),N27&gt;L27,ISNUMBER(O27),O27&gt;0),1,0))</x:f>
      </x:c>
      <x:c r="W27" s="46" t="str">
        <x:f>IF(D27="","",IF(AND(V27=1,E27="符合",ISNUMBER(I27),I27&gt;=10,ISNUMBER(P27),P27&gt;=0,P27&lt;=3,ISNUMBER(Q27),Q27&gt;=0,Q27&lt;=0.75,R27="已驗證無故障"),1,0))</x:f>
      </x:c>
    </x:row>
    <x:row r="28" ht="23" customHeight="1">
      <x:c r="A28" s="2"/>
      <x:c r="B28" s="2"/>
      <x:c r="C28" s="44"/>
      <x:c r="D28" s="44"/>
      <x:c r="E28" s="44"/>
      <x:c r="F28" s="45"/>
      <x:c r="G28" s="45"/>
      <x:c r="H28" s="45"/>
      <x:c r="I28" s="7"/>
      <x:c r="J28" s="7"/>
      <x:c r="K28" s="7"/>
      <x:c r="L28" s="45"/>
      <x:c r="M28" s="10"/>
      <x:c r="N28" s="45"/>
      <x:c r="O28" s="10"/>
      <x:c r="P28" s="22"/>
      <x:c r="Q28" s="22"/>
      <x:c r="R28" s="44"/>
      <x:c r="S28" s="44"/>
      <x:c r="T28" s="44"/>
      <x:c r="U28" s="46" t="str">
        <x:f>IF(D28="","",IF(AND(C28&lt;&gt;"",COUNTIFS($C$12:$C$41,C28)=1,ISNUMBER(L28),L28&gt;0,ISNUMBER(J28),J28&gt;0,ISNUMBER(K28),K28&gt;0,ISNUMBER(M28),M28&gt;0,T28&lt;&gt;""),1,0))</x:f>
      </x:c>
      <x:c r="V28" s="46" t="str">
        <x:f>IF(D28="","",IF(AND(U28=1,ISNUMBER(N28),N28&gt;L28,ISNUMBER(O28),O28&gt;0),1,0))</x:f>
      </x:c>
      <x:c r="W28" s="46" t="str">
        <x:f>IF(D28="","",IF(AND(V28=1,E28="符合",ISNUMBER(I28),I28&gt;=10,ISNUMBER(P28),P28&gt;=0,P28&lt;=3,ISNUMBER(Q28),Q28&gt;=0,Q28&lt;=0.75,R28="已驗證無故障"),1,0))</x:f>
      </x:c>
    </x:row>
    <x:row r="29" ht="23" customHeight="1">
      <x:c r="A29" s="2"/>
      <x:c r="B29" s="2"/>
      <x:c r="C29" s="44"/>
      <x:c r="D29" s="44"/>
      <x:c r="E29" s="44"/>
      <x:c r="F29" s="45"/>
      <x:c r="G29" s="45"/>
      <x:c r="H29" s="45"/>
      <x:c r="I29" s="7"/>
      <x:c r="J29" s="7"/>
      <x:c r="K29" s="7"/>
      <x:c r="L29" s="45"/>
      <x:c r="M29" s="10"/>
      <x:c r="N29" s="45"/>
      <x:c r="O29" s="10"/>
      <x:c r="P29" s="22"/>
      <x:c r="Q29" s="22"/>
      <x:c r="R29" s="44"/>
      <x:c r="S29" s="44"/>
      <x:c r="T29" s="44"/>
      <x:c r="U29" s="46" t="str">
        <x:f>IF(D29="","",IF(AND(C29&lt;&gt;"",COUNTIFS($C$12:$C$41,C29)=1,ISNUMBER(L29),L29&gt;0,ISNUMBER(J29),J29&gt;0,ISNUMBER(K29),K29&gt;0,ISNUMBER(M29),M29&gt;0,T29&lt;&gt;""),1,0))</x:f>
      </x:c>
      <x:c r="V29" s="46" t="str">
        <x:f>IF(D29="","",IF(AND(U29=1,ISNUMBER(N29),N29&gt;L29,ISNUMBER(O29),O29&gt;0),1,0))</x:f>
      </x:c>
      <x:c r="W29" s="46" t="str">
        <x:f>IF(D29="","",IF(AND(V29=1,E29="符合",ISNUMBER(I29),I29&gt;=10,ISNUMBER(P29),P29&gt;=0,P29&lt;=3,ISNUMBER(Q29),Q29&gt;=0,Q29&lt;=0.75,R29="已驗證無故障"),1,0))</x:f>
      </x:c>
    </x:row>
    <x:row r="30" ht="23" customHeight="1">
      <x:c r="A30" s="2"/>
      <x:c r="B30" s="2"/>
      <x:c r="C30" s="44"/>
      <x:c r="D30" s="44"/>
      <x:c r="E30" s="44"/>
      <x:c r="F30" s="45"/>
      <x:c r="G30" s="45"/>
      <x:c r="H30" s="45"/>
      <x:c r="I30" s="7"/>
      <x:c r="J30" s="7"/>
      <x:c r="K30" s="7"/>
      <x:c r="L30" s="45"/>
      <x:c r="M30" s="10"/>
      <x:c r="N30" s="45"/>
      <x:c r="O30" s="10"/>
      <x:c r="P30" s="22"/>
      <x:c r="Q30" s="22"/>
      <x:c r="R30" s="44"/>
      <x:c r="S30" s="44"/>
      <x:c r="T30" s="44"/>
      <x:c r="U30" s="46" t="str">
        <x:f>IF(D30="","",IF(AND(C30&lt;&gt;"",COUNTIFS($C$12:$C$41,C30)=1,ISNUMBER(L30),L30&gt;0,ISNUMBER(J30),J30&gt;0,ISNUMBER(K30),K30&gt;0,ISNUMBER(M30),M30&gt;0,T30&lt;&gt;""),1,0))</x:f>
      </x:c>
      <x:c r="V30" s="46" t="str">
        <x:f>IF(D30="","",IF(AND(U30=1,ISNUMBER(N30),N30&gt;L30,ISNUMBER(O30),O30&gt;0),1,0))</x:f>
      </x:c>
      <x:c r="W30" s="46" t="str">
        <x:f>IF(D30="","",IF(AND(V30=1,E30="符合",ISNUMBER(I30),I30&gt;=10,ISNUMBER(P30),P30&gt;=0,P30&lt;=3,ISNUMBER(Q30),Q30&gt;=0,Q30&lt;=0.75,R30="已驗證無故障"),1,0))</x:f>
      </x:c>
    </x:row>
    <x:row r="31" ht="23" customHeight="1">
      <x:c r="A31" s="2"/>
      <x:c r="B31" s="2"/>
      <x:c r="C31" s="44"/>
      <x:c r="D31" s="44"/>
      <x:c r="E31" s="44"/>
      <x:c r="F31" s="45"/>
      <x:c r="G31" s="45"/>
      <x:c r="H31" s="45"/>
      <x:c r="I31" s="7"/>
      <x:c r="J31" s="7"/>
      <x:c r="K31" s="7"/>
      <x:c r="L31" s="45"/>
      <x:c r="M31" s="10"/>
      <x:c r="N31" s="45"/>
      <x:c r="O31" s="10"/>
      <x:c r="P31" s="22"/>
      <x:c r="Q31" s="22"/>
      <x:c r="R31" s="44"/>
      <x:c r="S31" s="44"/>
      <x:c r="T31" s="44"/>
      <x:c r="U31" s="46" t="str">
        <x:f>IF(D31="","",IF(AND(C31&lt;&gt;"",COUNTIFS($C$12:$C$41,C31)=1,ISNUMBER(L31),L31&gt;0,ISNUMBER(J31),J31&gt;0,ISNUMBER(K31),K31&gt;0,ISNUMBER(M31),M31&gt;0,T31&lt;&gt;""),1,0))</x:f>
      </x:c>
      <x:c r="V31" s="46" t="str">
        <x:f>IF(D31="","",IF(AND(U31=1,ISNUMBER(N31),N31&gt;L31,ISNUMBER(O31),O31&gt;0),1,0))</x:f>
      </x:c>
      <x:c r="W31" s="46" t="str">
        <x:f>IF(D31="","",IF(AND(V31=1,E31="符合",ISNUMBER(I31),I31&gt;=10,ISNUMBER(P31),P31&gt;=0,P31&lt;=3,ISNUMBER(Q31),Q31&gt;=0,Q31&lt;=0.75,R31="已驗證無故障"),1,0))</x:f>
      </x:c>
    </x:row>
    <x:row r="32" ht="23" customHeight="1">
      <x:c r="A32" s="2"/>
      <x:c r="B32" s="2"/>
      <x:c r="C32" s="44"/>
      <x:c r="D32" s="44"/>
      <x:c r="E32" s="44"/>
      <x:c r="F32" s="45"/>
      <x:c r="G32" s="45"/>
      <x:c r="H32" s="45"/>
      <x:c r="I32" s="7"/>
      <x:c r="J32" s="7"/>
      <x:c r="K32" s="7"/>
      <x:c r="L32" s="45"/>
      <x:c r="M32" s="10"/>
      <x:c r="N32" s="45"/>
      <x:c r="O32" s="10"/>
      <x:c r="P32" s="22"/>
      <x:c r="Q32" s="22"/>
      <x:c r="R32" s="44"/>
      <x:c r="S32" s="44"/>
      <x:c r="T32" s="44"/>
      <x:c r="U32" s="46" t="str">
        <x:f>IF(D32="","",IF(AND(C32&lt;&gt;"",COUNTIFS($C$12:$C$41,C32)=1,ISNUMBER(L32),L32&gt;0,ISNUMBER(J32),J32&gt;0,ISNUMBER(K32),K32&gt;0,ISNUMBER(M32),M32&gt;0,T32&lt;&gt;""),1,0))</x:f>
      </x:c>
      <x:c r="V32" s="46" t="str">
        <x:f>IF(D32="","",IF(AND(U32=1,ISNUMBER(N32),N32&gt;L32,ISNUMBER(O32),O32&gt;0),1,0))</x:f>
      </x:c>
      <x:c r="W32" s="46" t="str">
        <x:f>IF(D32="","",IF(AND(V32=1,E32="符合",ISNUMBER(I32),I32&gt;=10,ISNUMBER(P32),P32&gt;=0,P32&lt;=3,ISNUMBER(Q32),Q32&gt;=0,Q32&lt;=0.75,R32="已驗證無故障"),1,0))</x:f>
      </x:c>
    </x:row>
    <x:row r="33" ht="23" customHeight="1">
      <x:c r="A33" s="2"/>
      <x:c r="B33" s="2"/>
      <x:c r="C33" s="44"/>
      <x:c r="D33" s="44"/>
      <x:c r="E33" s="44"/>
      <x:c r="F33" s="45"/>
      <x:c r="G33" s="45"/>
      <x:c r="H33" s="45"/>
      <x:c r="I33" s="7"/>
      <x:c r="J33" s="7"/>
      <x:c r="K33" s="7"/>
      <x:c r="L33" s="45"/>
      <x:c r="M33" s="10"/>
      <x:c r="N33" s="45"/>
      <x:c r="O33" s="10"/>
      <x:c r="P33" s="22"/>
      <x:c r="Q33" s="22"/>
      <x:c r="R33" s="44"/>
      <x:c r="S33" s="44"/>
      <x:c r="T33" s="44"/>
      <x:c r="U33" s="46" t="str">
        <x:f>IF(D33="","",IF(AND(C33&lt;&gt;"",COUNTIFS($C$12:$C$41,C33)=1,ISNUMBER(L33),L33&gt;0,ISNUMBER(J33),J33&gt;0,ISNUMBER(K33),K33&gt;0,ISNUMBER(M33),M33&gt;0,T33&lt;&gt;""),1,0))</x:f>
      </x:c>
      <x:c r="V33" s="46" t="str">
        <x:f>IF(D33="","",IF(AND(U33=1,ISNUMBER(N33),N33&gt;L33,ISNUMBER(O33),O33&gt;0),1,0))</x:f>
      </x:c>
      <x:c r="W33" s="46" t="str">
        <x:f>IF(D33="","",IF(AND(V33=1,E33="符合",ISNUMBER(I33),I33&gt;=10,ISNUMBER(P33),P33&gt;=0,P33&lt;=3,ISNUMBER(Q33),Q33&gt;=0,Q33&lt;=0.75,R33="已驗證無故障"),1,0))</x:f>
      </x:c>
    </x:row>
    <x:row r="34" ht="23" customHeight="1">
      <x:c r="A34" s="2"/>
      <x:c r="B34" s="2"/>
      <x:c r="C34" s="44"/>
      <x:c r="D34" s="44"/>
      <x:c r="E34" s="44"/>
      <x:c r="F34" s="45"/>
      <x:c r="G34" s="45"/>
      <x:c r="H34" s="45"/>
      <x:c r="I34" s="7"/>
      <x:c r="J34" s="7"/>
      <x:c r="K34" s="7"/>
      <x:c r="L34" s="45"/>
      <x:c r="M34" s="10"/>
      <x:c r="N34" s="45"/>
      <x:c r="O34" s="10"/>
      <x:c r="P34" s="22"/>
      <x:c r="Q34" s="22"/>
      <x:c r="R34" s="44"/>
      <x:c r="S34" s="44"/>
      <x:c r="T34" s="44"/>
      <x:c r="U34" s="46" t="str">
        <x:f>IF(D34="","",IF(AND(C34&lt;&gt;"",COUNTIFS($C$12:$C$41,C34)=1,ISNUMBER(L34),L34&gt;0,ISNUMBER(J34),J34&gt;0,ISNUMBER(K34),K34&gt;0,ISNUMBER(M34),M34&gt;0,T34&lt;&gt;""),1,0))</x:f>
      </x:c>
      <x:c r="V34" s="46" t="str">
        <x:f>IF(D34="","",IF(AND(U34=1,ISNUMBER(N34),N34&gt;L34,ISNUMBER(O34),O34&gt;0),1,0))</x:f>
      </x:c>
      <x:c r="W34" s="46" t="str">
        <x:f>IF(D34="","",IF(AND(V34=1,E34="符合",ISNUMBER(I34),I34&gt;=10,ISNUMBER(P34),P34&gt;=0,P34&lt;=3,ISNUMBER(Q34),Q34&gt;=0,Q34&lt;=0.75,R34="已驗證無故障"),1,0))</x:f>
      </x:c>
    </x:row>
    <x:row r="35" ht="23" customHeight="1">
      <x:c r="A35" s="2"/>
      <x:c r="B35" s="2"/>
      <x:c r="C35" s="44"/>
      <x:c r="D35" s="44"/>
      <x:c r="E35" s="44"/>
      <x:c r="F35" s="45"/>
      <x:c r="G35" s="45"/>
      <x:c r="H35" s="45"/>
      <x:c r="I35" s="7"/>
      <x:c r="J35" s="7"/>
      <x:c r="K35" s="7"/>
      <x:c r="L35" s="45"/>
      <x:c r="M35" s="10"/>
      <x:c r="N35" s="45"/>
      <x:c r="O35" s="10"/>
      <x:c r="P35" s="22"/>
      <x:c r="Q35" s="22"/>
      <x:c r="R35" s="44"/>
      <x:c r="S35" s="44"/>
      <x:c r="T35" s="44"/>
      <x:c r="U35" s="46" t="str">
        <x:f>IF(D35="","",IF(AND(C35&lt;&gt;"",COUNTIFS($C$12:$C$41,C35)=1,ISNUMBER(L35),L35&gt;0,ISNUMBER(J35),J35&gt;0,ISNUMBER(K35),K35&gt;0,ISNUMBER(M35),M35&gt;0,T35&lt;&gt;""),1,0))</x:f>
      </x:c>
      <x:c r="V35" s="46" t="str">
        <x:f>IF(D35="","",IF(AND(U35=1,ISNUMBER(N35),N35&gt;L35,ISNUMBER(O35),O35&gt;0),1,0))</x:f>
      </x:c>
      <x:c r="W35" s="46" t="str">
        <x:f>IF(D35="","",IF(AND(V35=1,E35="符合",ISNUMBER(I35),I35&gt;=10,ISNUMBER(P35),P35&gt;=0,P35&lt;=3,ISNUMBER(Q35),Q35&gt;=0,Q35&lt;=0.75,R35="已驗證無故障"),1,0))</x:f>
      </x:c>
    </x:row>
    <x:row r="36" ht="23" customHeight="1">
      <x:c r="A36" s="2"/>
      <x:c r="B36" s="2"/>
      <x:c r="C36" s="44"/>
      <x:c r="D36" s="44"/>
      <x:c r="E36" s="44"/>
      <x:c r="F36" s="45"/>
      <x:c r="G36" s="45"/>
      <x:c r="H36" s="45"/>
      <x:c r="I36" s="7"/>
      <x:c r="J36" s="7"/>
      <x:c r="K36" s="7"/>
      <x:c r="L36" s="45"/>
      <x:c r="M36" s="10"/>
      <x:c r="N36" s="45"/>
      <x:c r="O36" s="10"/>
      <x:c r="P36" s="22"/>
      <x:c r="Q36" s="22"/>
      <x:c r="R36" s="44"/>
      <x:c r="S36" s="44"/>
      <x:c r="T36" s="44"/>
      <x:c r="U36" s="46" t="str">
        <x:f>IF(D36="","",IF(AND(C36&lt;&gt;"",COUNTIFS($C$12:$C$41,C36)=1,ISNUMBER(L36),L36&gt;0,ISNUMBER(J36),J36&gt;0,ISNUMBER(K36),K36&gt;0,ISNUMBER(M36),M36&gt;0,T36&lt;&gt;""),1,0))</x:f>
      </x:c>
      <x:c r="V36" s="46" t="str">
        <x:f>IF(D36="","",IF(AND(U36=1,ISNUMBER(N36),N36&gt;L36,ISNUMBER(O36),O36&gt;0),1,0))</x:f>
      </x:c>
      <x:c r="W36" s="46" t="str">
        <x:f>IF(D36="","",IF(AND(V36=1,E36="符合",ISNUMBER(I36),I36&gt;=10,ISNUMBER(P36),P36&gt;=0,P36&lt;=3,ISNUMBER(Q36),Q36&gt;=0,Q36&lt;=0.75,R36="已驗證無故障"),1,0))</x:f>
      </x:c>
    </x:row>
    <x:row r="37" ht="23" customHeight="1">
      <x:c r="A37" s="2"/>
      <x:c r="B37" s="2"/>
      <x:c r="C37" s="44"/>
      <x:c r="D37" s="44"/>
      <x:c r="E37" s="44"/>
      <x:c r="F37" s="45"/>
      <x:c r="G37" s="45"/>
      <x:c r="H37" s="45"/>
      <x:c r="I37" s="7"/>
      <x:c r="J37" s="7"/>
      <x:c r="K37" s="7"/>
      <x:c r="L37" s="45"/>
      <x:c r="M37" s="10"/>
      <x:c r="N37" s="45"/>
      <x:c r="O37" s="10"/>
      <x:c r="P37" s="22"/>
      <x:c r="Q37" s="22"/>
      <x:c r="R37" s="44"/>
      <x:c r="S37" s="44"/>
      <x:c r="T37" s="44"/>
      <x:c r="U37" s="46" t="str">
        <x:f>IF(D37="","",IF(AND(C37&lt;&gt;"",COUNTIFS($C$12:$C$41,C37)=1,ISNUMBER(L37),L37&gt;0,ISNUMBER(J37),J37&gt;0,ISNUMBER(K37),K37&gt;0,ISNUMBER(M37),M37&gt;0,T37&lt;&gt;""),1,0))</x:f>
      </x:c>
      <x:c r="V37" s="46" t="str">
        <x:f>IF(D37="","",IF(AND(U37=1,ISNUMBER(N37),N37&gt;L37,ISNUMBER(O37),O37&gt;0),1,0))</x:f>
      </x:c>
      <x:c r="W37" s="46" t="str">
        <x:f>IF(D37="","",IF(AND(V37=1,E37="符合",ISNUMBER(I37),I37&gt;=10,ISNUMBER(P37),P37&gt;=0,P37&lt;=3,ISNUMBER(Q37),Q37&gt;=0,Q37&lt;=0.75,R37="已驗證無故障"),1,0))</x:f>
      </x:c>
    </x:row>
    <x:row r="38" ht="23" customHeight="1">
      <x:c r="A38" s="2"/>
      <x:c r="B38" s="2"/>
      <x:c r="C38" s="44"/>
      <x:c r="D38" s="44"/>
      <x:c r="E38" s="44"/>
      <x:c r="F38" s="45"/>
      <x:c r="G38" s="45"/>
      <x:c r="H38" s="45"/>
      <x:c r="I38" s="7"/>
      <x:c r="J38" s="7"/>
      <x:c r="K38" s="7"/>
      <x:c r="L38" s="45"/>
      <x:c r="M38" s="10"/>
      <x:c r="N38" s="45"/>
      <x:c r="O38" s="10"/>
      <x:c r="P38" s="22"/>
      <x:c r="Q38" s="22"/>
      <x:c r="R38" s="44"/>
      <x:c r="S38" s="44"/>
      <x:c r="T38" s="44"/>
      <x:c r="U38" s="46" t="str">
        <x:f>IF(D38="","",IF(AND(C38&lt;&gt;"",COUNTIFS($C$12:$C$41,C38)=1,ISNUMBER(L38),L38&gt;0,ISNUMBER(J38),J38&gt;0,ISNUMBER(K38),K38&gt;0,ISNUMBER(M38),M38&gt;0,T38&lt;&gt;""),1,0))</x:f>
      </x:c>
      <x:c r="V38" s="46" t="str">
        <x:f>IF(D38="","",IF(AND(U38=1,ISNUMBER(N38),N38&gt;L38,ISNUMBER(O38),O38&gt;0),1,0))</x:f>
      </x:c>
      <x:c r="W38" s="46" t="str">
        <x:f>IF(D38="","",IF(AND(V38=1,E38="符合",ISNUMBER(I38),I38&gt;=10,ISNUMBER(P38),P38&gt;=0,P38&lt;=3,ISNUMBER(Q38),Q38&gt;=0,Q38&lt;=0.75,R38="已驗證無故障"),1,0))</x:f>
      </x:c>
    </x:row>
    <x:row r="39" ht="23" customHeight="1">
      <x:c r="A39" s="2"/>
      <x:c r="B39" s="2"/>
      <x:c r="C39" s="44"/>
      <x:c r="D39" s="44"/>
      <x:c r="E39" s="44"/>
      <x:c r="F39" s="45"/>
      <x:c r="G39" s="45"/>
      <x:c r="H39" s="45"/>
      <x:c r="I39" s="7"/>
      <x:c r="J39" s="7"/>
      <x:c r="K39" s="7"/>
      <x:c r="L39" s="45"/>
      <x:c r="M39" s="10"/>
      <x:c r="N39" s="45"/>
      <x:c r="O39" s="10"/>
      <x:c r="P39" s="22"/>
      <x:c r="Q39" s="22"/>
      <x:c r="R39" s="44"/>
      <x:c r="S39" s="44"/>
      <x:c r="T39" s="44"/>
      <x:c r="U39" s="46" t="str">
        <x:f>IF(D39="","",IF(AND(C39&lt;&gt;"",COUNTIFS($C$12:$C$41,C39)=1,ISNUMBER(L39),L39&gt;0,ISNUMBER(J39),J39&gt;0,ISNUMBER(K39),K39&gt;0,ISNUMBER(M39),M39&gt;0,T39&lt;&gt;""),1,0))</x:f>
      </x:c>
      <x:c r="V39" s="46" t="str">
        <x:f>IF(D39="","",IF(AND(U39=1,ISNUMBER(N39),N39&gt;L39,ISNUMBER(O39),O39&gt;0),1,0))</x:f>
      </x:c>
      <x:c r="W39" s="46" t="str">
        <x:f>IF(D39="","",IF(AND(V39=1,E39="符合",ISNUMBER(I39),I39&gt;=10,ISNUMBER(P39),P39&gt;=0,P39&lt;=3,ISNUMBER(Q39),Q39&gt;=0,Q39&lt;=0.75,R39="已驗證無故障"),1,0))</x:f>
      </x:c>
    </x:row>
    <x:row r="40" ht="23" customHeight="1">
      <x:c r="A40" s="2"/>
      <x:c r="B40" s="2"/>
      <x:c r="C40" s="44"/>
      <x:c r="D40" s="44"/>
      <x:c r="E40" s="44"/>
      <x:c r="F40" s="45"/>
      <x:c r="G40" s="45"/>
      <x:c r="H40" s="45"/>
      <x:c r="I40" s="7"/>
      <x:c r="J40" s="7"/>
      <x:c r="K40" s="7"/>
      <x:c r="L40" s="45"/>
      <x:c r="M40" s="10"/>
      <x:c r="N40" s="45"/>
      <x:c r="O40" s="10"/>
      <x:c r="P40" s="22"/>
      <x:c r="Q40" s="22"/>
      <x:c r="R40" s="44"/>
      <x:c r="S40" s="44"/>
      <x:c r="T40" s="44"/>
      <x:c r="U40" s="46" t="str">
        <x:f>IF(D40="","",IF(AND(C40&lt;&gt;"",COUNTIFS($C$12:$C$41,C40)=1,ISNUMBER(L40),L40&gt;0,ISNUMBER(J40),J40&gt;0,ISNUMBER(K40),K40&gt;0,ISNUMBER(M40),M40&gt;0,T40&lt;&gt;""),1,0))</x:f>
      </x:c>
      <x:c r="V40" s="46" t="str">
        <x:f>IF(D40="","",IF(AND(U40=1,ISNUMBER(N40),N40&gt;L40,ISNUMBER(O40),O40&gt;0),1,0))</x:f>
      </x:c>
      <x:c r="W40" s="46" t="str">
        <x:f>IF(D40="","",IF(AND(V40=1,E40="符合",ISNUMBER(I40),I40&gt;=10,ISNUMBER(P40),P40&gt;=0,P40&lt;=3,ISNUMBER(Q40),Q40&gt;=0,Q40&lt;=0.75,R40="已驗證無故障"),1,0))</x:f>
      </x:c>
    </x:row>
    <x:row r="41" ht="23" customHeight="1">
      <x:c r="A41" s="2"/>
      <x:c r="B41" s="2"/>
      <x:c r="C41" s="44"/>
      <x:c r="D41" s="44"/>
      <x:c r="E41" s="44"/>
      <x:c r="F41" s="45"/>
      <x:c r="G41" s="45"/>
      <x:c r="H41" s="45"/>
      <x:c r="I41" s="7"/>
      <x:c r="J41" s="7"/>
      <x:c r="K41" s="7"/>
      <x:c r="L41" s="45"/>
      <x:c r="M41" s="10"/>
      <x:c r="N41" s="45"/>
      <x:c r="O41" s="10"/>
      <x:c r="P41" s="22"/>
      <x:c r="Q41" s="22"/>
      <x:c r="R41" s="44"/>
      <x:c r="S41" s="44"/>
      <x:c r="T41" s="44"/>
      <x:c r="U41" s="46" t="str">
        <x:f>IF(D41="","",IF(AND(C41&lt;&gt;"",COUNTIFS($C$12:$C$41,C41)=1,ISNUMBER(L41),L41&gt;0,ISNUMBER(J41),J41&gt;0,ISNUMBER(K41),K41&gt;0,ISNUMBER(M41),M41&gt;0,T41&lt;&gt;""),1,0))</x:f>
      </x:c>
      <x:c r="V41" s="46" t="str">
        <x:f>IF(D41="","",IF(AND(U41=1,ISNUMBER(N41),N41&gt;L41,ISNUMBER(O41),O41&gt;0),1,0))</x:f>
      </x:c>
      <x:c r="W41" s="46" t="str">
        <x:f>IF(D41="","",IF(AND(V41=1,E41="符合",ISNUMBER(I41),I41&gt;=10,ISNUMBER(P41),P41&gt;=0,P41&lt;=3,ISNUMBER(Q41),Q41&gt;=0,Q41&lt;=0.75,R41="已驗證無故障"),1,0))</x:f>
      </x:c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</x:sheetData>
  <x:conditionalFormatting sqref="C12:C41">
    <x:cfRule type="expression" dxfId="3" priority="1">
      <x:formula>AND(C12&lt;&gt;"",COUNTIFS($C$12:$C$41,C12)&gt;1)</x:formula>
    </x:cfRule>
  </x:conditionalFormatting>
  <x:dataValidations count="2">
    <x:dataValidation type="list" sqref="E12:E41">
      <x:formula1>"符合,部分符合,不符合"</x:formula1>
    </x:dataValidation>
    <x:dataValidation type="list" sqref="R12:R41">
      <x:formula1>"未測,有待修復,已驗證無故障"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0" hidden="0" customWidth="1"/>
    <x:col min="4" max="4" width="29" hidden="0" customWidth="1"/>
    <x:col min="5" max="5" width="48" hidden="0" customWidth="1"/>
    <x:col min="6" max="6" width="49" hidden="0" customWidth="1"/>
    <x:col min="7" max="7" width="3" hidden="0" customWidth="1"/>
    <x:col min="8" max="8" width="6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3" customHeight="1">
      <x:c r="A2" s="2"/>
      <x:c r="B2" s="2"/>
      <x:c r="C2" s="3" t="str">
        <x:v>競品證據與切入假說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23" customHeight="1">
      <x:c r="A4" s="2"/>
      <x:c r="B4" s="2"/>
      <x:c r="C4" s="2" t="str">
        <x:v>目前情境</x:v>
      </x:c>
      <x:c r="D4" s="2"/>
      <x:c r="E4" s="26" t="str">
        <x:f>'假設'!H4</x:f>
        <x:v>基準</x:v>
      </x:c>
      <x:c r="F4" s="2"/>
      <x:c r="G4" s="2"/>
      <x:c r="H4" s="2" t="str">
        <x:v>查核日 2026/09/07；官網價目可能改版，以正式報價為準。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 ht="23" customHeight="1">
      <x:c r="A7" s="2"/>
      <x:c r="B7" s="2"/>
      <x:c r="C7" s="15" t="str">
        <x:v>產品／條款</x:v>
      </x:c>
      <x:c r="D7" s="15" t="str">
        <x:v>官方價格或定位</x:v>
      </x:c>
      <x:c r="E7" s="15" t="str">
        <x:v>已看到的能力／規則</x:v>
      </x:c>
      <x:c r="F7" s="15" t="str">
        <x:v>對小店快收的意義</x:v>
      </x:c>
      <x:c r="G7" s="2"/>
      <x:c r="H7" s="2" t="str">
        <x:v>來源（官方）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 ht="78" customHeight="1">
      <x:c r="A8" s="2"/>
      <x:c r="B8" s="2"/>
      <x:c r="C8" s="38" t="str">
        <x:v>微碧</x:v>
      </x:c>
      <x:c r="D8" s="38" t="str">
        <x:v>Free 免費；Standard 年繳平均 NT$1,250／月</x:v>
      </x:c>
      <x:c r="E8" s="38" t="str">
        <x:v>Free 限1台 iPad，不限營業額與收單筆數；Standard 最多8台，電子發票另購。</x:v>
      </x:c>
      <x:c r="F8" s="38" t="str">
        <x:v>免費基本方案已存在。需量測具體操作省時，不能只比低價。</x:v>
      </x:c>
      <x:c r="G8" s="2"/>
      <x:c r="H8" s="38" t="str">
        <x:v>https://weiby.tw/pricing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 ht="78" customHeight="1">
      <x:c r="A9" s="2"/>
      <x:c r="B9" s="2"/>
      <x:c r="C9" s="38" t="str">
        <x:v>微碧 POS</x:v>
      </x:c>
      <x:c r="D9" s="38" t="str">
        <x:v>官方產品功能說明</x:v>
      </x:c>
      <x:c r="E9" s="38" t="str">
        <x:v>提供離線點餐、菜單與訂單管理。
仍須用認證設備實測尖峰操作。</x:v>
      </x:c>
      <x:c r="F9" s="38" t="str">
        <x:v>簡單與離線並非獨有能力。
優先找同店型未被滿足的工作流程。</x:v>
      </x:c>
      <x:c r="G9" s="2"/>
      <x:c r="H9" s="38" t="str">
        <x:v>https://weiby.tw/pos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 ht="78" customHeight="1">
      <x:c r="A10" s="2"/>
      <x:c r="B10" s="2"/>
      <x:c r="C10" s="38" t="str">
        <x:v>Simpos</x:v>
      </x:c>
      <x:c r="D10" s="38" t="str">
        <x:v>新手 NT$699／月；預繳 NT$399／月起</x:v>
      </x:c>
      <x:c r="E10" s="38" t="str">
        <x:v>2帳號、1,000商品；加料選項有級距。硬體另計，低價需看預繳期。</x:v>
      </x:c>
      <x:c r="F10" s="38" t="str">
        <x:v>不能以最低均攤價比較月繳；加購、裝置與硬體應分開列示。</x:v>
      </x:c>
      <x:c r="G10" s="2"/>
      <x:c r="H10" s="38" t="str">
        <x:v>https://www.simpos.com.tw/pricing?industry=restaurant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 ht="78" customHeight="1">
      <x:c r="A11" s="2"/>
      <x:c r="B11" s="2"/>
      <x:c r="C11" s="38" t="str">
        <x:v>Simpos 餐飲</x:v>
      </x:c>
      <x:c r="D11" s="38" t="str">
        <x:v>NT$399／月起為預繳3年均攤</x:v>
      </x:c>
      <x:c r="E11" s="38" t="str">
        <x:v>官方餐飲頁補充預繳期及餐飲功能。核對發票、線上點餐與設備條件。</x:v>
      </x:c>
      <x:c r="F11" s="38" t="str">
        <x:v>首年現金負擔不等於月均費用乘12，應以實際合約比較。</x:v>
      </x:c>
      <x:c r="G11" s="2"/>
      <x:c r="H11" s="38" t="str">
        <x:v>https://www.simpos.com.tw/industry/food/catering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 ht="78" customHeight="1">
      <x:c r="A12" s="2"/>
      <x:c r="B12" s="2"/>
      <x:c r="C12" s="38" t="str">
        <x:v>iCHEF</x:v>
      </x:c>
      <x:c r="D12" s="38" t="str">
        <x:v>NT$1,950／月起
開通 NT$990</x:v>
      </x:c>
      <x:c r="E12" s="38" t="str">
        <x:v>限1台 iPad。電子發票、外送整合、庫存及報表。
掃碼／線上500單另加 NT$600／月起。</x:v>
      </x:c>
      <x:c r="F12" s="38" t="str">
        <x:v>高價方案有整合與服務。
功能較少本身並不是優勢。</x:v>
      </x:c>
      <x:c r="G12" s="2"/>
      <x:c r="H12" s="38" t="str">
        <x:v>https://www.ichefpos.com/zh-tw/pricing/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ht="78" customHeight="1">
      <x:c r="A13" s="2"/>
      <x:c r="B13" s="2"/>
      <x:c r="C13" s="38" t="str">
        <x:v>Loyverse</x:v>
      </x:c>
      <x:c r="D13" s="38" t="str">
        <x:v>POS、儀表板、KDS、CDS 免費</x:v>
      </x:c>
      <x:c r="E13" s="38" t="str">
        <x:v>每店每月加購：無限歷史 US$5、員工 US$25、進階庫存 US$25，未稅。</x:v>
      </x:c>
      <x:c r="F13" s="38" t="str">
        <x:v>免費軟體也是替代方案。此頁未證明台灣電子發票支援。</x:v>
      </x:c>
      <x:c r="G13" s="2"/>
      <x:c r="H13" s="38" t="str">
        <x:v>https://loyverse.com/zh/pricing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</x:row>
    <x:row r="14" ht="78" customHeight="1">
      <x:c r="A14" s="2"/>
      <x:c r="B14" s="2"/>
      <x:c r="C14" s="38" t="str">
        <x:v>GitHub Pages</x:v>
      </x:c>
      <x:c r="D14" s="38" t="str">
        <x:v>官方使用限制</x:v>
      </x:c>
      <x:c r="E14" s="38" t="str">
        <x:v>不得用於免費代管線上生意、電商，
或主要提供商業 SaaS 的網站。</x:v>
      </x:c>
      <x:c r="F14" s="38" t="str">
        <x:v>可保留專案展示。
正式收費服務應採合適商業承載。</x:v>
      </x:c>
      <x:c r="G14" s="2"/>
      <x:c r="H14" s="38" t="str">
        <x:v>https://docs.github.com/en/pages/getting-started-with-github-pages/github-pages-limits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</x:row>
    <x:row r="18" ht="23" customHeight="1">
      <x:c r="A18" s="2"/>
      <x:c r="B18" s="2"/>
      <x:c r="C18" s="24" t="str">
        <x:v>切入假說：同生活圈小型麵線／湯麵店，需要少訓練、忙時可用、結帳可恢復與有人協助。</x:v>
      </x:c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</x:row>
    <x:row r="19" ht="23" customHeight="1">
      <x:c r="A19" s="2"/>
      <x:c r="B19" s="2"/>
      <x:c r="C19" s="24" t="str">
        <x:v>購買理由須以訪談、實際收款和續繳驗證；上述客群與價格不是已證實的市場結論。</x:v>
      </x:c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</x:row>
  </x:sheetData>
  <x:pageMargins left="0.7" right="0.7" top="0.75" bottom="0.75" header="0.3" footer="0.3"/>
</x:worksheet>
</file>